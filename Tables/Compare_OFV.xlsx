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N2" i="2"/>
  <c r="L2" i="2"/>
  <c r="L3" i="1" l="1"/>
  <c r="L2" i="1"/>
</calcChain>
</file>

<file path=xl/sharedStrings.xml><?xml version="1.0" encoding="utf-8"?>
<sst xmlns="http://schemas.openxmlformats.org/spreadsheetml/2006/main" count="27" uniqueCount="22">
  <si>
    <t>OFV_d_e_u</t>
  </si>
  <si>
    <t>OFV_d_m2_u</t>
  </si>
  <si>
    <t>IL12</t>
  </si>
  <si>
    <t>GMCSF</t>
  </si>
  <si>
    <t>VSV</t>
  </si>
  <si>
    <t>aPD1</t>
  </si>
  <si>
    <t>IL12-GMCSF (x1)</t>
  </si>
  <si>
    <t>IL12-GMCSF (x3)</t>
  </si>
  <si>
    <t>IL12-GMCSF (x6)</t>
  </si>
  <si>
    <t>IL12-GMCSF-VSV</t>
  </si>
  <si>
    <t>IL12-GMCSF-VSV-aPD1</t>
  </si>
  <si>
    <t>control</t>
  </si>
  <si>
    <t>макс</t>
  </si>
  <si>
    <t>Total</t>
  </si>
  <si>
    <t>mIL12</t>
  </si>
  <si>
    <t>mGMCSF</t>
  </si>
  <si>
    <t>mIL12-mGMCSF (x1)</t>
  </si>
  <si>
    <t>mIL12-mGMCSF (x3)</t>
  </si>
  <si>
    <t>mIL12-mGMCSF (x6)</t>
  </si>
  <si>
    <t>mIL12-mGMCSF-VSV</t>
  </si>
  <si>
    <t>mIL12-mGMCSF-VSV-aPD1</t>
  </si>
  <si>
    <t>Плацебо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</si>
</sst>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A10" sqref="A10"/>
    </sheetView>
  </sheetViews>
  <sheetFormatPr defaultRowHeight="15" x14ac:dyDescent="0.25"/>
  <cols>
    <col min="1" max="1" width="12.7109375" bestFit="1" customWidth="1"/>
    <col min="2" max="2" width="12.7109375" customWidth="1"/>
    <col min="3" max="4" width="9.5703125" bestFit="1" customWidth="1"/>
    <col min="5" max="6" width="10.5703125" bestFit="1" customWidth="1"/>
    <col min="7" max="9" width="15.42578125" bestFit="1" customWidth="1"/>
    <col min="10" max="10" width="15.85546875" bestFit="1" customWidth="1"/>
    <col min="11" max="11" width="21.140625" bestFit="1" customWidth="1"/>
    <col min="12" max="14" width="10.5703125" bestFit="1" customWidth="1"/>
  </cols>
  <sheetData>
    <row r="1" spans="1:14" x14ac:dyDescent="0.25">
      <c r="B1" t="s">
        <v>21</v>
      </c>
      <c r="C1" t="s">
        <v>14</v>
      </c>
      <c r="D1" t="s">
        <v>15</v>
      </c>
      <c r="E1" t="s">
        <v>4</v>
      </c>
      <c r="F1" t="s">
        <v>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13</v>
      </c>
    </row>
    <row r="2" spans="1:14" x14ac:dyDescent="0.25">
      <c r="A2" t="s">
        <v>0</v>
      </c>
      <c r="B2" s="1">
        <v>137076.291938471</v>
      </c>
      <c r="C2" s="1">
        <v>220588.19031965299</v>
      </c>
      <c r="D2" s="1">
        <v>163981.50966913599</v>
      </c>
      <c r="E2" s="1">
        <v>161000.336436654</v>
      </c>
      <c r="F2" s="1">
        <v>311589.60429088399</v>
      </c>
      <c r="G2" s="1">
        <v>863518.17744292505</v>
      </c>
      <c r="H2" s="1">
        <v>346303.40249093698</v>
      </c>
      <c r="I2" s="1">
        <v>501262.17559323099</v>
      </c>
      <c r="J2" s="1">
        <v>164570.52711603601</v>
      </c>
      <c r="K2" s="1">
        <v>168692.530118214</v>
      </c>
      <c r="L2" s="1">
        <f>SUM(B2:K2)</f>
        <v>3038582.7454161411</v>
      </c>
      <c r="N2" s="1"/>
    </row>
    <row r="3" spans="1:14" x14ac:dyDescent="0.25">
      <c r="A3" t="s">
        <v>1</v>
      </c>
      <c r="B3" s="1">
        <v>205858.08548133</v>
      </c>
      <c r="C3" s="1">
        <v>248119.32051106001</v>
      </c>
      <c r="D3" s="1">
        <v>306323.049310381</v>
      </c>
      <c r="E3" s="1">
        <v>1965605.91184023</v>
      </c>
      <c r="F3" s="1">
        <v>1382459.4089098701</v>
      </c>
      <c r="G3" s="1">
        <v>642624.71472141496</v>
      </c>
      <c r="H3" s="1">
        <v>404223.71284645202</v>
      </c>
      <c r="I3" s="1">
        <v>465570.90384965303</v>
      </c>
      <c r="J3" s="1">
        <v>173802.31022282701</v>
      </c>
      <c r="K3" s="1">
        <v>158324.68427921701</v>
      </c>
      <c r="L3" s="1">
        <f>SUM(B3:K3)</f>
        <v>5952912.1019724356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A2" sqref="A2:A3"/>
    </sheetView>
  </sheetViews>
  <sheetFormatPr defaultRowHeight="15" x14ac:dyDescent="0.25"/>
  <cols>
    <col min="1" max="1" width="12.7109375" bestFit="1" customWidth="1"/>
    <col min="2" max="4" width="9.5703125" bestFit="1" customWidth="1"/>
    <col min="5" max="6" width="10.5703125" bestFit="1" customWidth="1"/>
    <col min="7" max="9" width="15.28515625" bestFit="1" customWidth="1"/>
    <col min="10" max="10" width="15.7109375" bestFit="1" customWidth="1"/>
    <col min="11" max="11" width="21" bestFit="1" customWidth="1"/>
    <col min="12" max="12" width="10.5703125" bestFit="1" customWidth="1"/>
    <col min="14" max="14" width="10.5703125" bestFit="1" customWidth="1"/>
  </cols>
  <sheetData>
    <row r="1" spans="1:14" x14ac:dyDescent="0.25">
      <c r="B1" t="s">
        <v>11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N1" t="s">
        <v>12</v>
      </c>
    </row>
    <row r="2" spans="1:14" x14ac:dyDescent="0.25">
      <c r="A2" t="s">
        <v>0</v>
      </c>
      <c r="B2" s="1">
        <v>137076.291938471</v>
      </c>
      <c r="C2" s="1">
        <v>220588.19031965299</v>
      </c>
      <c r="D2" s="1">
        <v>163981.50966913599</v>
      </c>
      <c r="E2" s="1">
        <v>161000.336436654</v>
      </c>
      <c r="F2" s="1">
        <v>311589.60429088399</v>
      </c>
      <c r="G2" s="1">
        <v>863518.17744292505</v>
      </c>
      <c r="H2" s="1">
        <v>346303.40249093698</v>
      </c>
      <c r="I2" s="1">
        <v>501262.17559323099</v>
      </c>
      <c r="J2" s="1">
        <v>164570.52711603601</v>
      </c>
      <c r="K2" s="1">
        <v>168692.530118214</v>
      </c>
      <c r="L2" s="1">
        <f>SUM(B2:K2)</f>
        <v>3038582.7454161411</v>
      </c>
      <c r="N2" s="1">
        <f>MAX(B2:K3)</f>
        <v>1965605.91184023</v>
      </c>
    </row>
    <row r="3" spans="1:14" x14ac:dyDescent="0.25">
      <c r="A3" t="s">
        <v>1</v>
      </c>
      <c r="B3" s="1">
        <v>205858.08548133</v>
      </c>
      <c r="C3" s="1">
        <v>248119.32051106001</v>
      </c>
      <c r="D3" s="1">
        <v>306323.049310381</v>
      </c>
      <c r="E3" s="1">
        <v>1965605.91184023</v>
      </c>
      <c r="F3" s="1">
        <v>1382459.4089098701</v>
      </c>
      <c r="G3" s="1">
        <v>642624.71472141496</v>
      </c>
      <c r="H3" s="1">
        <v>404223.71284645202</v>
      </c>
      <c r="I3" s="1">
        <v>465570.90384965303</v>
      </c>
      <c r="J3" s="1">
        <v>173802.31022282701</v>
      </c>
      <c r="K3" s="1">
        <v>158324.68427921701</v>
      </c>
      <c r="L3" s="1">
        <f>SUM(B3:K3)</f>
        <v>5952912.1019724356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2025-12-24T16:32:56Z</dcterms:modified>
</cp:coreProperties>
</file>