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Отчет по гранту ФТ\Tables\"/>
    </mc:Choice>
  </mc:AlternateContent>
  <bookViews>
    <workbookView xWindow="0" yWindow="0" windowWidth="23280" windowHeight="12600" tabRatio="985" firstSheet="16" activeTab="22"/>
  </bookViews>
  <sheets>
    <sheet name="data" sheetId="12" r:id="rId1"/>
    <sheet name="PBS_exp" sheetId="27" r:id="rId2"/>
    <sheet name="НК_exp" sheetId="29" r:id="rId3"/>
    <sheet name="IgG_exp" sheetId="31" r:id="rId4"/>
    <sheet name="No_treatment_sim" sheetId="28" r:id="rId5"/>
    <sheet name="IL12_exp" sheetId="32" r:id="rId6"/>
    <sheet name="IL12_sim" sheetId="33" r:id="rId7"/>
    <sheet name="GMCSF_exp" sheetId="34" r:id="rId8"/>
    <sheet name="GMCSF_sim" sheetId="35" r:id="rId9"/>
    <sheet name="VSV_exp" sheetId="36" r:id="rId10"/>
    <sheet name="VSV_sim" sheetId="37" r:id="rId11"/>
    <sheet name="aPD1_exp" sheetId="38" r:id="rId12"/>
    <sheet name="aPD1_sim" sheetId="39" r:id="rId13"/>
    <sheet name="IL12_GMCSF_x1_exp" sheetId="40" r:id="rId14"/>
    <sheet name="IL12_GMCSF_x1_sim" sheetId="41" r:id="rId15"/>
    <sheet name="IL12_GMCSF_x3_exp" sheetId="42" r:id="rId16"/>
    <sheet name="IL12_GMCSF_x3_sim" sheetId="43" r:id="rId17"/>
    <sheet name="IL12_GMCSF_x6_exp" sheetId="44" r:id="rId18"/>
    <sheet name="IL12_GMCSF_x6_sim" sheetId="45" r:id="rId19"/>
    <sheet name="IL12_GMCSF_VSV_exp" sheetId="46" r:id="rId20"/>
    <sheet name="IL12_GMCSF_VSV_sim" sheetId="47" r:id="rId21"/>
    <sheet name="IL12_GMCSF_VSV_aPD1_exp" sheetId="48" r:id="rId22"/>
    <sheet name="IL12_GMCSF_VSV_aPD1_sim" sheetId="49" r:id="rId2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2" l="1"/>
  <c r="CA132" i="12" l="1"/>
  <c r="CA169" i="12"/>
  <c r="CA168" i="12"/>
  <c r="BI58" i="12"/>
  <c r="DT225" i="12"/>
  <c r="DK225" i="12"/>
  <c r="DB225" i="12"/>
  <c r="CS225" i="12"/>
  <c r="DT224" i="12"/>
  <c r="DK224" i="12"/>
  <c r="DB224" i="12"/>
  <c r="CS224" i="12"/>
  <c r="BR223" i="12"/>
  <c r="BI223" i="12"/>
  <c r="AZ223" i="12"/>
  <c r="AQ223" i="12"/>
  <c r="AH223" i="12"/>
  <c r="Y223" i="12"/>
  <c r="P223" i="12"/>
  <c r="G223" i="12"/>
  <c r="CA222" i="12"/>
  <c r="BR222" i="12"/>
  <c r="BI222" i="12"/>
  <c r="AZ222" i="12"/>
  <c r="AQ222" i="12"/>
  <c r="AH222" i="12"/>
  <c r="Y222" i="12"/>
  <c r="P222" i="12"/>
  <c r="G222" i="12"/>
  <c r="BR221" i="12"/>
  <c r="BI221" i="12"/>
  <c r="AZ221" i="12"/>
  <c r="AQ221" i="12"/>
  <c r="AH221" i="12"/>
  <c r="Y221" i="12"/>
  <c r="P221" i="12"/>
  <c r="G221" i="12"/>
  <c r="CJ220" i="12"/>
  <c r="CJ225" i="12" s="1"/>
  <c r="CA220" i="12"/>
  <c r="BR220" i="12"/>
  <c r="BI220" i="12"/>
  <c r="AZ220" i="12"/>
  <c r="AQ220" i="12"/>
  <c r="AH220" i="12"/>
  <c r="Y220" i="12"/>
  <c r="P220" i="12"/>
  <c r="G220" i="12"/>
  <c r="BR219" i="12"/>
  <c r="BI219" i="12"/>
  <c r="AZ219" i="12"/>
  <c r="AQ219" i="12"/>
  <c r="AH219" i="12"/>
  <c r="Y219" i="12"/>
  <c r="P219" i="12"/>
  <c r="G219" i="12"/>
  <c r="BR218" i="12"/>
  <c r="BI218" i="12"/>
  <c r="AZ218" i="12"/>
  <c r="AQ218" i="12"/>
  <c r="AH218" i="12"/>
  <c r="Y218" i="12"/>
  <c r="P218" i="12"/>
  <c r="G218" i="12"/>
  <c r="CA217" i="12"/>
  <c r="BR217" i="12"/>
  <c r="BI217" i="12"/>
  <c r="AZ217" i="12"/>
  <c r="AQ217" i="12"/>
  <c r="AH217" i="12"/>
  <c r="Y217" i="12"/>
  <c r="P217" i="12"/>
  <c r="G217" i="12"/>
  <c r="BR216" i="12"/>
  <c r="BI216" i="12"/>
  <c r="AZ216" i="12"/>
  <c r="AQ216" i="12"/>
  <c r="AH216" i="12"/>
  <c r="Y216" i="12"/>
  <c r="P216" i="12"/>
  <c r="G216" i="12"/>
  <c r="CA215" i="12"/>
  <c r="BR215" i="12"/>
  <c r="BI215" i="12"/>
  <c r="AZ215" i="12"/>
  <c r="AQ215" i="12"/>
  <c r="AH215" i="12"/>
  <c r="Y215" i="12"/>
  <c r="P215" i="12"/>
  <c r="G215" i="12"/>
  <c r="CS205" i="12"/>
  <c r="CJ205" i="12"/>
  <c r="CA205" i="12"/>
  <c r="BR205" i="12"/>
  <c r="BI205" i="12"/>
  <c r="AZ205" i="12"/>
  <c r="AQ205" i="12"/>
  <c r="AH205" i="12"/>
  <c r="Y205" i="12"/>
  <c r="P205" i="12"/>
  <c r="G205" i="12"/>
  <c r="CJ204" i="12"/>
  <c r="CA204" i="12"/>
  <c r="BR204" i="12"/>
  <c r="BI204" i="12"/>
  <c r="AZ204" i="12"/>
  <c r="AQ204" i="12"/>
  <c r="AH204" i="12"/>
  <c r="Y204" i="12"/>
  <c r="P204" i="12"/>
  <c r="G204" i="12"/>
  <c r="BI203" i="12"/>
  <c r="AZ203" i="12"/>
  <c r="AQ203" i="12"/>
  <c r="AH203" i="12"/>
  <c r="Y203" i="12"/>
  <c r="P203" i="12"/>
  <c r="G203" i="12"/>
  <c r="CS202" i="12"/>
  <c r="CJ202" i="12"/>
  <c r="CA202" i="12"/>
  <c r="BR202" i="12"/>
  <c r="BI202" i="12"/>
  <c r="AZ202" i="12"/>
  <c r="AQ202" i="12"/>
  <c r="AH202" i="12"/>
  <c r="Y202" i="12"/>
  <c r="P202" i="12"/>
  <c r="G202" i="12"/>
  <c r="CA201" i="12"/>
  <c r="BR201" i="12"/>
  <c r="BI201" i="12"/>
  <c r="AZ201" i="12"/>
  <c r="AQ201" i="12"/>
  <c r="AH201" i="12"/>
  <c r="Y201" i="12"/>
  <c r="P201" i="12"/>
  <c r="G201" i="12"/>
  <c r="CA200" i="12"/>
  <c r="BR200" i="12"/>
  <c r="BI200" i="12"/>
  <c r="AZ200" i="12"/>
  <c r="AQ200" i="12"/>
  <c r="AH200" i="12"/>
  <c r="Y200" i="12"/>
  <c r="P200" i="12"/>
  <c r="G200" i="12"/>
  <c r="CS199" i="12"/>
  <c r="CJ199" i="12"/>
  <c r="CA199" i="12"/>
  <c r="BR199" i="12"/>
  <c r="BI199" i="12"/>
  <c r="AZ199" i="12"/>
  <c r="AQ199" i="12"/>
  <c r="AH199" i="12"/>
  <c r="Y199" i="12"/>
  <c r="P199" i="12"/>
  <c r="G199" i="12"/>
  <c r="CS198" i="12"/>
  <c r="CJ198" i="12"/>
  <c r="CA198" i="12"/>
  <c r="BR198" i="12"/>
  <c r="BI198" i="12"/>
  <c r="AZ198" i="12"/>
  <c r="AQ198" i="12"/>
  <c r="AH198" i="12"/>
  <c r="AH207" i="12" s="1"/>
  <c r="Y198" i="12"/>
  <c r="Y207" i="12" s="1"/>
  <c r="P198" i="12"/>
  <c r="G198" i="12"/>
  <c r="DT197" i="12"/>
  <c r="DT207" i="12" s="1"/>
  <c r="DK197" i="12"/>
  <c r="DK207" i="12" s="1"/>
  <c r="DB197" i="12"/>
  <c r="DB207" i="12" s="1"/>
  <c r="CS197" i="12"/>
  <c r="CJ197" i="12"/>
  <c r="CJ207" i="12" s="1"/>
  <c r="CA197" i="12"/>
  <c r="BR197" i="12"/>
  <c r="BI197" i="12"/>
  <c r="AZ197" i="12"/>
  <c r="AQ197" i="12"/>
  <c r="AH197" i="12"/>
  <c r="Y197" i="12"/>
  <c r="P197" i="12"/>
  <c r="G197" i="12"/>
  <c r="DT189" i="12"/>
  <c r="DT188" i="12"/>
  <c r="DB187" i="12"/>
  <c r="CS187" i="12"/>
  <c r="CJ187" i="12"/>
  <c r="CA187" i="12"/>
  <c r="BR187" i="12"/>
  <c r="BI187" i="12"/>
  <c r="AZ187" i="12"/>
  <c r="AQ187" i="12"/>
  <c r="AH187" i="12"/>
  <c r="Y187" i="12"/>
  <c r="P187" i="12"/>
  <c r="G187" i="12"/>
  <c r="DK186" i="12"/>
  <c r="DK189" i="12" s="1"/>
  <c r="DB186" i="12"/>
  <c r="CS186" i="12"/>
  <c r="CJ186" i="12"/>
  <c r="CA186" i="12"/>
  <c r="BR186" i="12"/>
  <c r="BI186" i="12"/>
  <c r="AZ186" i="12"/>
  <c r="AQ186" i="12"/>
  <c r="AH186" i="12"/>
  <c r="Y186" i="12"/>
  <c r="P186" i="12"/>
  <c r="G186" i="12"/>
  <c r="CA185" i="12"/>
  <c r="BR185" i="12"/>
  <c r="BI185" i="12"/>
  <c r="AZ185" i="12"/>
  <c r="AQ185" i="12"/>
  <c r="AH185" i="12"/>
  <c r="Y185" i="12"/>
  <c r="P185" i="12"/>
  <c r="G185" i="12"/>
  <c r="CS184" i="12"/>
  <c r="CJ184" i="12"/>
  <c r="CA184" i="12"/>
  <c r="BR184" i="12"/>
  <c r="BI184" i="12"/>
  <c r="AZ184" i="12"/>
  <c r="AQ184" i="12"/>
  <c r="Y184" i="12"/>
  <c r="P184" i="12"/>
  <c r="G184" i="12"/>
  <c r="BR183" i="12"/>
  <c r="BI183" i="12"/>
  <c r="AZ183" i="12"/>
  <c r="AQ183" i="12"/>
  <c r="AH183" i="12"/>
  <c r="Y183" i="12"/>
  <c r="P183" i="12"/>
  <c r="G183" i="12"/>
  <c r="DB182" i="12"/>
  <c r="CS182" i="12"/>
  <c r="CJ182" i="12"/>
  <c r="CA182" i="12"/>
  <c r="BR182" i="12"/>
  <c r="BI182" i="12"/>
  <c r="AZ182" i="12"/>
  <c r="AQ182" i="12"/>
  <c r="Y182" i="12"/>
  <c r="P182" i="12"/>
  <c r="G182" i="12"/>
  <c r="CA181" i="12"/>
  <c r="BR181" i="12"/>
  <c r="BI181" i="12"/>
  <c r="AZ181" i="12"/>
  <c r="AQ181" i="12"/>
  <c r="AH181" i="12"/>
  <c r="Y181" i="12"/>
  <c r="P181" i="12"/>
  <c r="G181" i="12"/>
  <c r="CA180" i="12"/>
  <c r="BR180" i="12"/>
  <c r="BI180" i="12"/>
  <c r="AZ180" i="12"/>
  <c r="AQ180" i="12"/>
  <c r="AH180" i="12"/>
  <c r="Y180" i="12"/>
  <c r="P180" i="12"/>
  <c r="G180" i="12"/>
  <c r="CJ179" i="12"/>
  <c r="CA179" i="12"/>
  <c r="BR179" i="12"/>
  <c r="BR189" i="12" s="1"/>
  <c r="BI179" i="12"/>
  <c r="AZ179" i="12"/>
  <c r="AQ179" i="12"/>
  <c r="AH179" i="12"/>
  <c r="Y179" i="12"/>
  <c r="P179" i="12"/>
  <c r="G179" i="12"/>
  <c r="BI169" i="12"/>
  <c r="AZ169" i="12"/>
  <c r="AQ169" i="12"/>
  <c r="AH169" i="12"/>
  <c r="Y169" i="12"/>
  <c r="P169" i="12"/>
  <c r="G169" i="12"/>
  <c r="DT168" i="12"/>
  <c r="DK168" i="12"/>
  <c r="DB168" i="12"/>
  <c r="CS168" i="12"/>
  <c r="CJ168" i="12"/>
  <c r="BR168" i="12"/>
  <c r="BI168" i="12"/>
  <c r="AZ168" i="12"/>
  <c r="AQ168" i="12"/>
  <c r="AH168" i="12"/>
  <c r="Y168" i="12"/>
  <c r="P168" i="12"/>
  <c r="G168" i="12"/>
  <c r="CA167" i="12"/>
  <c r="BI167" i="12"/>
  <c r="AZ167" i="12"/>
  <c r="AQ167" i="12"/>
  <c r="AH167" i="12"/>
  <c r="Y167" i="12"/>
  <c r="P167" i="12"/>
  <c r="G167" i="12"/>
  <c r="CA166" i="12"/>
  <c r="BI166" i="12"/>
  <c r="AZ166" i="12"/>
  <c r="AQ166" i="12"/>
  <c r="AH166" i="12"/>
  <c r="Y166" i="12"/>
  <c r="P166" i="12"/>
  <c r="G166" i="12"/>
  <c r="DB165" i="12"/>
  <c r="CS165" i="12"/>
  <c r="CJ165" i="12"/>
  <c r="CA165" i="12"/>
  <c r="BR165" i="12"/>
  <c r="BR170" i="12" s="1"/>
  <c r="BI165" i="12"/>
  <c r="AZ165" i="12"/>
  <c r="AQ165" i="12"/>
  <c r="AH165" i="12"/>
  <c r="Y165" i="12"/>
  <c r="P165" i="12"/>
  <c r="G165" i="12"/>
  <c r="AZ164" i="12"/>
  <c r="AQ164" i="12"/>
  <c r="AH164" i="12"/>
  <c r="Y164" i="12"/>
  <c r="P164" i="12"/>
  <c r="G164" i="12"/>
  <c r="BR163" i="12"/>
  <c r="BI163" i="12"/>
  <c r="AZ163" i="12"/>
  <c r="AQ163" i="12"/>
  <c r="AH163" i="12"/>
  <c r="Y163" i="12"/>
  <c r="P163" i="12"/>
  <c r="G163" i="12"/>
  <c r="BR162" i="12"/>
  <c r="BI162" i="12"/>
  <c r="AZ162" i="12"/>
  <c r="AQ162" i="12"/>
  <c r="AH162" i="12"/>
  <c r="Y162" i="12"/>
  <c r="P162" i="12"/>
  <c r="G162" i="12"/>
  <c r="DT161" i="12"/>
  <c r="DT171" i="12" s="1"/>
  <c r="DK161" i="12"/>
  <c r="DB161" i="12"/>
  <c r="DB171" i="12" s="1"/>
  <c r="CS161" i="12"/>
  <c r="CJ161" i="12"/>
  <c r="CA161" i="12"/>
  <c r="BI161" i="12"/>
  <c r="AZ161" i="12"/>
  <c r="AQ161" i="12"/>
  <c r="AH161" i="12"/>
  <c r="Y161" i="12"/>
  <c r="P161" i="12"/>
  <c r="G161" i="12"/>
  <c r="G171" i="12" s="1"/>
  <c r="DK151" i="12"/>
  <c r="DB151" i="12"/>
  <c r="CS151" i="12"/>
  <c r="CJ151" i="12"/>
  <c r="CA151" i="12"/>
  <c r="BR151" i="12"/>
  <c r="BI151" i="12"/>
  <c r="AZ151" i="12"/>
  <c r="AQ151" i="12"/>
  <c r="AH151" i="12"/>
  <c r="Y151" i="12"/>
  <c r="P151" i="12"/>
  <c r="G151" i="12"/>
  <c r="AZ150" i="12"/>
  <c r="AQ150" i="12"/>
  <c r="AH150" i="12"/>
  <c r="Y150" i="12"/>
  <c r="P150" i="12"/>
  <c r="G150" i="12"/>
  <c r="CJ149" i="12"/>
  <c r="CA149" i="12"/>
  <c r="BR149" i="12"/>
  <c r="BI149" i="12"/>
  <c r="AZ149" i="12"/>
  <c r="AQ149" i="12"/>
  <c r="AH149" i="12"/>
  <c r="Y149" i="12"/>
  <c r="G149" i="12"/>
  <c r="DT148" i="12"/>
  <c r="DT152" i="12" s="1"/>
  <c r="DK148" i="12"/>
  <c r="DB148" i="12"/>
  <c r="CS148" i="12"/>
  <c r="CJ148" i="12"/>
  <c r="CA148" i="12"/>
  <c r="BR148" i="12"/>
  <c r="BI148" i="12"/>
  <c r="AZ148" i="12"/>
  <c r="AQ148" i="12"/>
  <c r="AH148" i="12"/>
  <c r="Y148" i="12"/>
  <c r="P148" i="12"/>
  <c r="G148" i="12"/>
  <c r="DB147" i="12"/>
  <c r="CS147" i="12"/>
  <c r="CJ147" i="12"/>
  <c r="CJ153" i="12" s="1"/>
  <c r="CA147" i="12"/>
  <c r="BR147" i="12"/>
  <c r="BI147" i="12"/>
  <c r="AZ147" i="12"/>
  <c r="AQ147" i="12"/>
  <c r="AH147" i="12"/>
  <c r="Y147" i="12"/>
  <c r="G147" i="12"/>
  <c r="AQ146" i="12"/>
  <c r="AH146" i="12"/>
  <c r="Y146" i="12"/>
  <c r="P146" i="12"/>
  <c r="G146" i="12"/>
  <c r="BI145" i="12"/>
  <c r="AZ145" i="12"/>
  <c r="AQ145" i="12"/>
  <c r="AH145" i="12"/>
  <c r="Y145" i="12"/>
  <c r="P145" i="12"/>
  <c r="G145" i="12"/>
  <c r="BR144" i="12"/>
  <c r="BI144" i="12"/>
  <c r="AZ144" i="12"/>
  <c r="AQ144" i="12"/>
  <c r="AH144" i="12"/>
  <c r="Y144" i="12"/>
  <c r="P144" i="12"/>
  <c r="G144" i="12"/>
  <c r="BR143" i="12"/>
  <c r="BI143" i="12"/>
  <c r="AZ143" i="12"/>
  <c r="AQ143" i="12"/>
  <c r="AH143" i="12"/>
  <c r="AH152" i="12" s="1"/>
  <c r="Y143" i="12"/>
  <c r="Y153" i="12" s="1"/>
  <c r="P143" i="12"/>
  <c r="G143" i="12"/>
  <c r="BR133" i="12"/>
  <c r="BI133" i="12"/>
  <c r="AZ133" i="12"/>
  <c r="AQ133" i="12"/>
  <c r="AH133" i="12"/>
  <c r="Y133" i="12"/>
  <c r="P133" i="12"/>
  <c r="G133" i="12"/>
  <c r="DB132" i="12"/>
  <c r="CS132" i="12"/>
  <c r="CJ132" i="12"/>
  <c r="BR132" i="12"/>
  <c r="BI132" i="12"/>
  <c r="AZ132" i="12"/>
  <c r="AQ132" i="12"/>
  <c r="AH132" i="12"/>
  <c r="Y132" i="12"/>
  <c r="P132" i="12"/>
  <c r="G132" i="12"/>
  <c r="CJ131" i="12"/>
  <c r="CA131" i="12"/>
  <c r="BR131" i="12"/>
  <c r="BI131" i="12"/>
  <c r="AZ131" i="12"/>
  <c r="AQ131" i="12"/>
  <c r="AH131" i="12"/>
  <c r="Y131" i="12"/>
  <c r="P131" i="12"/>
  <c r="G131" i="12"/>
  <c r="DT130" i="12"/>
  <c r="DT135" i="12" s="1"/>
  <c r="DK130" i="12"/>
  <c r="DK134" i="12" s="1"/>
  <c r="DB130" i="12"/>
  <c r="CS130" i="12"/>
  <c r="CJ130" i="12"/>
  <c r="CA130" i="12"/>
  <c r="BR130" i="12"/>
  <c r="BI130" i="12"/>
  <c r="AZ130" i="12"/>
  <c r="AQ130" i="12"/>
  <c r="AH130" i="12"/>
  <c r="Y130" i="12"/>
  <c r="P130" i="12"/>
  <c r="G130" i="12"/>
  <c r="CJ129" i="12"/>
  <c r="CA129" i="12"/>
  <c r="BR129" i="12"/>
  <c r="BI129" i="12"/>
  <c r="AZ129" i="12"/>
  <c r="AQ129" i="12"/>
  <c r="AH129" i="12"/>
  <c r="Y129" i="12"/>
  <c r="P129" i="12"/>
  <c r="G129" i="12"/>
  <c r="DB128" i="12"/>
  <c r="CS128" i="12"/>
  <c r="CJ128" i="12"/>
  <c r="CA128" i="12"/>
  <c r="BR128" i="12"/>
  <c r="BI128" i="12"/>
  <c r="AZ128" i="12"/>
  <c r="AQ128" i="12"/>
  <c r="AH128" i="12"/>
  <c r="Y128" i="12"/>
  <c r="P128" i="12"/>
  <c r="G128" i="12"/>
  <c r="BR127" i="12"/>
  <c r="BI127" i="12"/>
  <c r="AZ127" i="12"/>
  <c r="AQ127" i="12"/>
  <c r="AH127" i="12"/>
  <c r="Y127" i="12"/>
  <c r="P127" i="12"/>
  <c r="G127" i="12"/>
  <c r="BR126" i="12"/>
  <c r="BI126" i="12"/>
  <c r="AZ126" i="12"/>
  <c r="AQ126" i="12"/>
  <c r="AH126" i="12"/>
  <c r="Y126" i="12"/>
  <c r="P126" i="12"/>
  <c r="G126" i="12"/>
  <c r="DB125" i="12"/>
  <c r="CS125" i="12"/>
  <c r="CJ125" i="12"/>
  <c r="CA125" i="12"/>
  <c r="BR125" i="12"/>
  <c r="BI125" i="12"/>
  <c r="AZ125" i="12"/>
  <c r="AQ125" i="12"/>
  <c r="AH125" i="12"/>
  <c r="Y125" i="12"/>
  <c r="P125" i="12"/>
  <c r="G125" i="12"/>
  <c r="CS124" i="12"/>
  <c r="CS135" i="12" s="1"/>
  <c r="BR124" i="12"/>
  <c r="BI124" i="12"/>
  <c r="AZ124" i="12"/>
  <c r="AQ124" i="12"/>
  <c r="AH124" i="12"/>
  <c r="Y124" i="12"/>
  <c r="Y135" i="12" s="1"/>
  <c r="P124" i="12"/>
  <c r="G124" i="12"/>
  <c r="G134" i="12" s="1"/>
  <c r="DT116" i="12"/>
  <c r="DT115" i="12"/>
  <c r="DK114" i="12"/>
  <c r="DK116" i="12" s="1"/>
  <c r="DB114" i="12"/>
  <c r="CS114" i="12"/>
  <c r="CJ114" i="12"/>
  <c r="CA114" i="12"/>
  <c r="BR114" i="12"/>
  <c r="BI114" i="12"/>
  <c r="AZ114" i="12"/>
  <c r="AQ114" i="12"/>
  <c r="AH114" i="12"/>
  <c r="Y114" i="12"/>
  <c r="P114" i="12"/>
  <c r="G114" i="12"/>
  <c r="CA113" i="12"/>
  <c r="BR113" i="12"/>
  <c r="BI113" i="12"/>
  <c r="AZ113" i="12"/>
  <c r="AQ113" i="12"/>
  <c r="AH113" i="12"/>
  <c r="Y113" i="12"/>
  <c r="P113" i="12"/>
  <c r="G113" i="12"/>
  <c r="CS112" i="12"/>
  <c r="CJ112" i="12"/>
  <c r="CA112" i="12"/>
  <c r="BR112" i="12"/>
  <c r="BI112" i="12"/>
  <c r="AZ112" i="12"/>
  <c r="AQ112" i="12"/>
  <c r="AH112" i="12"/>
  <c r="Y112" i="12"/>
  <c r="P112" i="12"/>
  <c r="G112" i="12"/>
  <c r="BI111" i="12"/>
  <c r="AZ111" i="12"/>
  <c r="AQ111" i="12"/>
  <c r="AH111" i="12"/>
  <c r="Y111" i="12"/>
  <c r="P111" i="12"/>
  <c r="G111" i="12"/>
  <c r="CJ110" i="12"/>
  <c r="CA110" i="12"/>
  <c r="BR110" i="12"/>
  <c r="BI110" i="12"/>
  <c r="AZ110" i="12"/>
  <c r="AQ110" i="12"/>
  <c r="AH110" i="12"/>
  <c r="Y110" i="12"/>
  <c r="P110" i="12"/>
  <c r="G110" i="12"/>
  <c r="CJ109" i="12"/>
  <c r="CA109" i="12"/>
  <c r="BR109" i="12"/>
  <c r="BI109" i="12"/>
  <c r="AZ109" i="12"/>
  <c r="AQ109" i="12"/>
  <c r="AH109" i="12"/>
  <c r="Y109" i="12"/>
  <c r="P109" i="12"/>
  <c r="G109" i="12"/>
  <c r="CJ108" i="12"/>
  <c r="CA108" i="12"/>
  <c r="BR108" i="12"/>
  <c r="BI108" i="12"/>
  <c r="AZ108" i="12"/>
  <c r="AQ108" i="12"/>
  <c r="AH108" i="12"/>
  <c r="Y108" i="12"/>
  <c r="P108" i="12"/>
  <c r="G108" i="12"/>
  <c r="DB107" i="12"/>
  <c r="CS107" i="12"/>
  <c r="CJ107" i="12"/>
  <c r="CA107" i="12"/>
  <c r="BR107" i="12"/>
  <c r="BI107" i="12"/>
  <c r="AZ107" i="12"/>
  <c r="AQ107" i="12"/>
  <c r="AH107" i="12"/>
  <c r="Y107" i="12"/>
  <c r="P107" i="12"/>
  <c r="G107" i="12"/>
  <c r="CS106" i="12"/>
  <c r="CJ106" i="12"/>
  <c r="CA106" i="12"/>
  <c r="BR106" i="12"/>
  <c r="BI106" i="12"/>
  <c r="AZ106" i="12"/>
  <c r="AQ106" i="12"/>
  <c r="AH106" i="12"/>
  <c r="Y106" i="12"/>
  <c r="P106" i="12"/>
  <c r="G106" i="12"/>
  <c r="DT98" i="12"/>
  <c r="DT97" i="12"/>
  <c r="DB96" i="12"/>
  <c r="CS96" i="12"/>
  <c r="CJ96" i="12"/>
  <c r="CA96" i="12"/>
  <c r="BR96" i="12"/>
  <c r="BI96" i="12"/>
  <c r="AZ96" i="12"/>
  <c r="AQ96" i="12"/>
  <c r="AH96" i="12"/>
  <c r="Y96" i="12"/>
  <c r="P96" i="12"/>
  <c r="G96" i="12"/>
  <c r="CS95" i="12"/>
  <c r="CJ95" i="12"/>
  <c r="CA95" i="12"/>
  <c r="BR95" i="12"/>
  <c r="BI95" i="12"/>
  <c r="AZ95" i="12"/>
  <c r="AQ95" i="12"/>
  <c r="AH95" i="12"/>
  <c r="Y95" i="12"/>
  <c r="P95" i="12"/>
  <c r="G95" i="12"/>
  <c r="BR94" i="12"/>
  <c r="BI94" i="12"/>
  <c r="AZ94" i="12"/>
  <c r="AQ94" i="12"/>
  <c r="AH94" i="12"/>
  <c r="Y94" i="12"/>
  <c r="P94" i="12"/>
  <c r="G94" i="12"/>
  <c r="BR93" i="12"/>
  <c r="BI93" i="12"/>
  <c r="AZ93" i="12"/>
  <c r="AQ93" i="12"/>
  <c r="AH93" i="12"/>
  <c r="Y93" i="12"/>
  <c r="P93" i="12"/>
  <c r="G93" i="12"/>
  <c r="CS92" i="12"/>
  <c r="CJ92" i="12"/>
  <c r="CA92" i="12"/>
  <c r="BR92" i="12"/>
  <c r="BI92" i="12"/>
  <c r="AZ92" i="12"/>
  <c r="AQ92" i="12"/>
  <c r="AH92" i="12"/>
  <c r="Y92" i="12"/>
  <c r="P92" i="12"/>
  <c r="G92" i="12"/>
  <c r="DK91" i="12"/>
  <c r="DK97" i="12" s="1"/>
  <c r="DB91" i="12"/>
  <c r="CS91" i="12"/>
  <c r="CJ91" i="12"/>
  <c r="CA91" i="12"/>
  <c r="BR91" i="12"/>
  <c r="BI91" i="12"/>
  <c r="AZ91" i="12"/>
  <c r="AQ91" i="12"/>
  <c r="AH91" i="12"/>
  <c r="Y91" i="12"/>
  <c r="P91" i="12"/>
  <c r="G91" i="12"/>
  <c r="DB90" i="12"/>
  <c r="CS90" i="12"/>
  <c r="CJ90" i="12"/>
  <c r="CJ98" i="12" s="1"/>
  <c r="CA90" i="12"/>
  <c r="BR90" i="12"/>
  <c r="BI90" i="12"/>
  <c r="AZ90" i="12"/>
  <c r="AQ90" i="12"/>
  <c r="AH90" i="12"/>
  <c r="Y90" i="12"/>
  <c r="P90" i="12"/>
  <c r="G90" i="12"/>
  <c r="BI89" i="12"/>
  <c r="AZ89" i="12"/>
  <c r="AQ89" i="12"/>
  <c r="AH89" i="12"/>
  <c r="Y89" i="12"/>
  <c r="P89" i="12"/>
  <c r="G89" i="12"/>
  <c r="CS88" i="12"/>
  <c r="CS98" i="12" s="1"/>
  <c r="CJ88" i="12"/>
  <c r="CA88" i="12"/>
  <c r="BR88" i="12"/>
  <c r="BI88" i="12"/>
  <c r="AZ88" i="12"/>
  <c r="AQ88" i="12"/>
  <c r="AH88" i="12"/>
  <c r="Y88" i="12"/>
  <c r="P88" i="12"/>
  <c r="G88" i="12"/>
  <c r="BR87" i="12"/>
  <c r="BR98" i="12" s="1"/>
  <c r="BI87" i="12"/>
  <c r="BI97" i="12" s="1"/>
  <c r="AZ87" i="12"/>
  <c r="AQ87" i="12"/>
  <c r="AH87" i="12"/>
  <c r="Y87" i="12"/>
  <c r="P87" i="12"/>
  <c r="G87" i="12"/>
  <c r="CS77" i="12"/>
  <c r="CJ77" i="12"/>
  <c r="CA77" i="12"/>
  <c r="BR77" i="12"/>
  <c r="BI77" i="12"/>
  <c r="AZ77" i="12"/>
  <c r="AQ77" i="12"/>
  <c r="AH77" i="12"/>
  <c r="Y77" i="12"/>
  <c r="P77" i="12"/>
  <c r="G77" i="12"/>
  <c r="CA76" i="12"/>
  <c r="BR76" i="12"/>
  <c r="BI76" i="12"/>
  <c r="AZ76" i="12"/>
  <c r="AQ76" i="12"/>
  <c r="AH76" i="12"/>
  <c r="Y76" i="12"/>
  <c r="P76" i="12"/>
  <c r="G76" i="12"/>
  <c r="CJ75" i="12"/>
  <c r="CA75" i="12"/>
  <c r="BR75" i="12"/>
  <c r="BI75" i="12"/>
  <c r="AZ75" i="12"/>
  <c r="AQ75" i="12"/>
  <c r="AH75" i="12"/>
  <c r="Y75" i="12"/>
  <c r="P75" i="12"/>
  <c r="G75" i="12"/>
  <c r="DB74" i="12"/>
  <c r="CS74" i="12"/>
  <c r="CJ74" i="12"/>
  <c r="CA74" i="12"/>
  <c r="BR74" i="12"/>
  <c r="BI74" i="12"/>
  <c r="AZ74" i="12"/>
  <c r="AQ74" i="12"/>
  <c r="AH74" i="12"/>
  <c r="Y74" i="12"/>
  <c r="P74" i="12"/>
  <c r="G74" i="12"/>
  <c r="DT73" i="12"/>
  <c r="DT79" i="12" s="1"/>
  <c r="DK73" i="12"/>
  <c r="DK79" i="12" s="1"/>
  <c r="DB73" i="12"/>
  <c r="DB79" i="12" s="1"/>
  <c r="CS73" i="12"/>
  <c r="CJ73" i="12"/>
  <c r="CA73" i="12"/>
  <c r="BR73" i="12"/>
  <c r="BI73" i="12"/>
  <c r="AZ73" i="12"/>
  <c r="AQ73" i="12"/>
  <c r="AH73" i="12"/>
  <c r="Y73" i="12"/>
  <c r="P73" i="12"/>
  <c r="G73" i="12"/>
  <c r="CJ72" i="12"/>
  <c r="CA72" i="12"/>
  <c r="BR72" i="12"/>
  <c r="BI72" i="12"/>
  <c r="AZ72" i="12"/>
  <c r="AQ72" i="12"/>
  <c r="AH72" i="12"/>
  <c r="Y72" i="12"/>
  <c r="P72" i="12"/>
  <c r="G72" i="12"/>
  <c r="CA71" i="12"/>
  <c r="BR71" i="12"/>
  <c r="BI71" i="12"/>
  <c r="AZ71" i="12"/>
  <c r="AQ71" i="12"/>
  <c r="AH71" i="12"/>
  <c r="Y71" i="12"/>
  <c r="P71" i="12"/>
  <c r="G71" i="12"/>
  <c r="CA70" i="12"/>
  <c r="BR70" i="12"/>
  <c r="BI70" i="12"/>
  <c r="BI78" i="12" s="1"/>
  <c r="AZ70" i="12"/>
  <c r="AQ70" i="12"/>
  <c r="AH70" i="12"/>
  <c r="Y70" i="12"/>
  <c r="P70" i="12"/>
  <c r="G70" i="12"/>
  <c r="CJ69" i="12"/>
  <c r="CA69" i="12"/>
  <c r="BR69" i="12"/>
  <c r="BI69" i="12"/>
  <c r="AZ69" i="12"/>
  <c r="AQ69" i="12"/>
  <c r="AQ79" i="12" s="1"/>
  <c r="AH69" i="12"/>
  <c r="Y69" i="12"/>
  <c r="P69" i="12"/>
  <c r="G69" i="12"/>
  <c r="DK59" i="12"/>
  <c r="DB59" i="12"/>
  <c r="CS59" i="12"/>
  <c r="CJ59" i="12"/>
  <c r="CA59" i="12"/>
  <c r="BR59" i="12"/>
  <c r="BI59" i="12"/>
  <c r="AZ59" i="12"/>
  <c r="AQ59" i="12"/>
  <c r="AH59" i="12"/>
  <c r="Y59" i="12"/>
  <c r="P59" i="12"/>
  <c r="G59" i="12"/>
  <c r="CJ58" i="12"/>
  <c r="CA58" i="12"/>
  <c r="BR58" i="12"/>
  <c r="AZ58" i="12"/>
  <c r="AQ58" i="12"/>
  <c r="AH58" i="12"/>
  <c r="Y58" i="12"/>
  <c r="P58" i="12"/>
  <c r="G58" i="12"/>
  <c r="DT57" i="12"/>
  <c r="DK57" i="12"/>
  <c r="DB57" i="12"/>
  <c r="CS57" i="12"/>
  <c r="CJ57" i="12"/>
  <c r="CA57" i="12"/>
  <c r="BR57" i="12"/>
  <c r="BI57" i="12"/>
  <c r="AZ57" i="12"/>
  <c r="AQ57" i="12"/>
  <c r="AH57" i="12"/>
  <c r="Y57" i="12"/>
  <c r="P57" i="12"/>
  <c r="G57" i="12"/>
  <c r="BR56" i="12"/>
  <c r="BI56" i="12"/>
  <c r="AZ56" i="12"/>
  <c r="AQ56" i="12"/>
  <c r="AH56" i="12"/>
  <c r="Y56" i="12"/>
  <c r="P56" i="12"/>
  <c r="G56" i="12"/>
  <c r="BI55" i="12"/>
  <c r="AZ55" i="12"/>
  <c r="AQ55" i="12"/>
  <c r="AH55" i="12"/>
  <c r="Y55" i="12"/>
  <c r="P55" i="12"/>
  <c r="G55" i="12"/>
  <c r="CS54" i="12"/>
  <c r="CJ54" i="12"/>
  <c r="CA54" i="12"/>
  <c r="BR54" i="12"/>
  <c r="BI54" i="12"/>
  <c r="AZ54" i="12"/>
  <c r="AQ54" i="12"/>
  <c r="AH54" i="12"/>
  <c r="Y54" i="12"/>
  <c r="P54" i="12"/>
  <c r="G54" i="12"/>
  <c r="DT53" i="12"/>
  <c r="DK53" i="12"/>
  <c r="DB53" i="12"/>
  <c r="CS53" i="12"/>
  <c r="BI53" i="12"/>
  <c r="AQ53" i="12"/>
  <c r="AH53" i="12"/>
  <c r="Y53" i="12"/>
  <c r="P53" i="12"/>
  <c r="G53" i="12"/>
  <c r="CJ52" i="12"/>
  <c r="CA52" i="12"/>
  <c r="BR52" i="12"/>
  <c r="BI52" i="12"/>
  <c r="AZ52" i="12"/>
  <c r="AQ52" i="12"/>
  <c r="AH52" i="12"/>
  <c r="Y52" i="12"/>
  <c r="P52" i="12"/>
  <c r="G52" i="12"/>
  <c r="AQ51" i="12"/>
  <c r="AH51" i="12"/>
  <c r="Y51" i="12"/>
  <c r="P51" i="12"/>
  <c r="G51" i="12"/>
  <c r="DT50" i="12"/>
  <c r="DK50" i="12"/>
  <c r="DB50" i="12"/>
  <c r="DB61" i="12" s="1"/>
  <c r="CS50" i="12"/>
  <c r="CS61" i="12" s="1"/>
  <c r="CJ50" i="12"/>
  <c r="CA50" i="12"/>
  <c r="BR50" i="12"/>
  <c r="BI50" i="12"/>
  <c r="AZ50" i="12"/>
  <c r="AZ61" i="12" s="1"/>
  <c r="AQ50" i="12"/>
  <c r="AH50" i="12"/>
  <c r="Y50" i="12"/>
  <c r="P50" i="12"/>
  <c r="G50" i="12"/>
  <c r="DT42" i="12"/>
  <c r="DT41" i="12"/>
  <c r="DB41" i="12"/>
  <c r="BR40" i="12"/>
  <c r="BI40" i="12"/>
  <c r="AZ40" i="12"/>
  <c r="AQ40" i="12"/>
  <c r="AH40" i="12"/>
  <c r="Y40" i="12"/>
  <c r="P40" i="12"/>
  <c r="G40" i="12"/>
  <c r="BR39" i="12"/>
  <c r="BI39" i="12"/>
  <c r="AZ39" i="12"/>
  <c r="AQ39" i="12"/>
  <c r="AH39" i="12"/>
  <c r="Y39" i="12"/>
  <c r="P39" i="12"/>
  <c r="G39" i="12"/>
  <c r="BR38" i="12"/>
  <c r="BI38" i="12"/>
  <c r="AZ38" i="12"/>
  <c r="AQ38" i="12"/>
  <c r="AH38" i="12"/>
  <c r="Y38" i="12"/>
  <c r="P38" i="12"/>
  <c r="G38" i="12"/>
  <c r="CA37" i="12"/>
  <c r="BR37" i="12"/>
  <c r="BI37" i="12"/>
  <c r="AZ37" i="12"/>
  <c r="AQ37" i="12"/>
  <c r="AH37" i="12"/>
  <c r="Y37" i="12"/>
  <c r="P37" i="12"/>
  <c r="G37" i="12"/>
  <c r="BR36" i="12"/>
  <c r="BI36" i="12"/>
  <c r="AZ36" i="12"/>
  <c r="AQ36" i="12"/>
  <c r="AH36" i="12"/>
  <c r="Y36" i="12"/>
  <c r="P36" i="12"/>
  <c r="G36" i="12"/>
  <c r="CA35" i="12"/>
  <c r="BR35" i="12"/>
  <c r="BI35" i="12"/>
  <c r="AZ35" i="12"/>
  <c r="AQ35" i="12"/>
  <c r="AH35" i="12"/>
  <c r="Y35" i="12"/>
  <c r="P35" i="12"/>
  <c r="G35" i="12"/>
  <c r="DK34" i="12"/>
  <c r="DK41" i="12" s="1"/>
  <c r="DB34" i="12"/>
  <c r="DB42" i="12" s="1"/>
  <c r="CS34" i="12"/>
  <c r="CS42" i="12" s="1"/>
  <c r="CJ34" i="12"/>
  <c r="CA34" i="12"/>
  <c r="BR34" i="12"/>
  <c r="BI34" i="12"/>
  <c r="AZ34" i="12"/>
  <c r="AQ34" i="12"/>
  <c r="AH34" i="12"/>
  <c r="Y34" i="12"/>
  <c r="P34" i="12"/>
  <c r="G34" i="12"/>
  <c r="BR33" i="12"/>
  <c r="BI33" i="12"/>
  <c r="AZ33" i="12"/>
  <c r="AQ33" i="12"/>
  <c r="AH33" i="12"/>
  <c r="Y33" i="12"/>
  <c r="P33" i="12"/>
  <c r="G33" i="12"/>
  <c r="CJ32" i="12"/>
  <c r="CJ42" i="12" s="1"/>
  <c r="CA32" i="12"/>
  <c r="CA41" i="12" s="1"/>
  <c r="BR32" i="12"/>
  <c r="BI32" i="12"/>
  <c r="AZ32" i="12"/>
  <c r="AQ32" i="12"/>
  <c r="AH32" i="12"/>
  <c r="Y32" i="12"/>
  <c r="P32" i="12"/>
  <c r="G32" i="12"/>
  <c r="BI31" i="12"/>
  <c r="AZ31" i="12"/>
  <c r="AQ31" i="12"/>
  <c r="AH31" i="12"/>
  <c r="Y31" i="12"/>
  <c r="P31" i="12"/>
  <c r="G31" i="12"/>
  <c r="DT23" i="12"/>
  <c r="DK23" i="12"/>
  <c r="DT22" i="12"/>
  <c r="DK22" i="12"/>
  <c r="CJ21" i="12"/>
  <c r="CA21" i="12"/>
  <c r="BR21" i="12"/>
  <c r="BI21" i="12"/>
  <c r="AZ21" i="12"/>
  <c r="AQ21" i="12"/>
  <c r="AH21" i="12"/>
  <c r="Y21" i="12"/>
  <c r="P21" i="12"/>
  <c r="G21" i="12"/>
  <c r="BI20" i="12"/>
  <c r="AZ20" i="12"/>
  <c r="AQ20" i="12"/>
  <c r="AH20" i="12"/>
  <c r="Y20" i="12"/>
  <c r="P20" i="12"/>
  <c r="G20" i="12"/>
  <c r="BR19" i="12"/>
  <c r="BI19" i="12"/>
  <c r="AZ19" i="12"/>
  <c r="AQ19" i="12"/>
  <c r="AH19" i="12"/>
  <c r="Y19" i="12"/>
  <c r="P19" i="12"/>
  <c r="G19" i="12"/>
  <c r="CA18" i="12"/>
  <c r="BR18" i="12"/>
  <c r="BI18" i="12"/>
  <c r="AZ18" i="12"/>
  <c r="AQ18" i="12"/>
  <c r="AH18" i="12"/>
  <c r="Y18" i="12"/>
  <c r="P18" i="12"/>
  <c r="G18" i="12"/>
  <c r="BI17" i="12"/>
  <c r="AZ17" i="12"/>
  <c r="AQ17" i="12"/>
  <c r="AH17" i="12"/>
  <c r="Y17" i="12"/>
  <c r="P17" i="12"/>
  <c r="G17" i="12"/>
  <c r="CA16" i="12"/>
  <c r="BR16" i="12"/>
  <c r="BI16" i="12"/>
  <c r="AZ16" i="12"/>
  <c r="AQ16" i="12"/>
  <c r="AH16" i="12"/>
  <c r="Y16" i="12"/>
  <c r="P16" i="12"/>
  <c r="G16" i="12"/>
  <c r="BR15" i="12"/>
  <c r="BI15" i="12"/>
  <c r="AZ15" i="12"/>
  <c r="AQ15" i="12"/>
  <c r="AH15" i="12"/>
  <c r="Y15" i="12"/>
  <c r="P15" i="12"/>
  <c r="G15" i="12"/>
  <c r="DB14" i="12"/>
  <c r="CS14" i="12"/>
  <c r="CJ14" i="12"/>
  <c r="CA14" i="12"/>
  <c r="BR14" i="12"/>
  <c r="BI14" i="12"/>
  <c r="AZ14" i="12"/>
  <c r="AQ14" i="12"/>
  <c r="AH14" i="12"/>
  <c r="Y14" i="12"/>
  <c r="P14" i="12"/>
  <c r="G14" i="12"/>
  <c r="DB13" i="12"/>
  <c r="DB22" i="12" s="1"/>
  <c r="CS13" i="12"/>
  <c r="CJ13" i="12"/>
  <c r="CJ23" i="12" s="1"/>
  <c r="CA13" i="12"/>
  <c r="CA23" i="12" s="1"/>
  <c r="BR13" i="12"/>
  <c r="BI13" i="12"/>
  <c r="AZ13" i="12"/>
  <c r="AQ13" i="12"/>
  <c r="AH13" i="12"/>
  <c r="Y13" i="12"/>
  <c r="P13" i="12"/>
  <c r="G13" i="12"/>
  <c r="BR12" i="12"/>
  <c r="BI12" i="12"/>
  <c r="BI22" i="12" s="1"/>
  <c r="AZ12" i="12"/>
  <c r="AQ12" i="12"/>
  <c r="AH12" i="12"/>
  <c r="Y12" i="12"/>
  <c r="P12" i="12"/>
  <c r="P23" i="12" s="1"/>
  <c r="G12" i="12"/>
  <c r="CS23" i="12" l="1"/>
  <c r="CJ22" i="12"/>
  <c r="AQ61" i="12"/>
  <c r="DK60" i="12"/>
  <c r="DK78" i="12"/>
  <c r="DB97" i="12"/>
  <c r="AQ135" i="12"/>
  <c r="AH135" i="12"/>
  <c r="BR134" i="12"/>
  <c r="BI152" i="12"/>
  <c r="DB152" i="12"/>
  <c r="BR171" i="12"/>
  <c r="CJ189" i="12"/>
  <c r="BI225" i="12"/>
  <c r="CS22" i="12"/>
  <c r="CA42" i="12"/>
  <c r="DK61" i="12"/>
  <c r="CS79" i="12"/>
  <c r="DT78" i="12"/>
  <c r="DB98" i="12"/>
  <c r="Y116" i="12"/>
  <c r="CS116" i="12"/>
  <c r="AQ115" i="12"/>
  <c r="DK115" i="12"/>
  <c r="AQ134" i="12"/>
  <c r="BR152" i="12"/>
  <c r="AZ171" i="12"/>
  <c r="Y188" i="12"/>
  <c r="DK42" i="12"/>
  <c r="DT61" i="12"/>
  <c r="AQ98" i="12"/>
  <c r="DK98" i="12"/>
  <c r="G153" i="12"/>
  <c r="P153" i="12"/>
  <c r="BI171" i="12"/>
  <c r="AH188" i="12"/>
  <c r="G188" i="12"/>
  <c r="DK188" i="12"/>
  <c r="AZ206" i="12"/>
  <c r="AZ23" i="12"/>
  <c r="AZ42" i="12"/>
  <c r="G97" i="12"/>
  <c r="DT153" i="12"/>
  <c r="CJ171" i="12"/>
  <c r="BI207" i="12"/>
  <c r="G61" i="12"/>
  <c r="Y60" i="12"/>
  <c r="G60" i="12"/>
  <c r="AH153" i="12"/>
  <c r="P225" i="12"/>
  <c r="P116" i="12"/>
  <c r="CJ116" i="12"/>
  <c r="G207" i="12"/>
  <c r="AH224" i="12"/>
  <c r="AQ153" i="12"/>
  <c r="G42" i="12"/>
  <c r="DB78" i="12"/>
  <c r="AZ152" i="12"/>
  <c r="CS153" i="12"/>
  <c r="DK171" i="12"/>
  <c r="AZ225" i="12"/>
  <c r="AQ60" i="12"/>
  <c r="BI79" i="12"/>
  <c r="BR61" i="12"/>
  <c r="BR79" i="12"/>
  <c r="CA61" i="12"/>
  <c r="AZ60" i="12"/>
  <c r="CA79" i="12"/>
  <c r="AZ116" i="12"/>
  <c r="CA115" i="12"/>
  <c r="G23" i="12"/>
  <c r="AQ23" i="12"/>
  <c r="CA22" i="12"/>
  <c r="BR22" i="12"/>
  <c r="CJ61" i="12"/>
  <c r="Y61" i="12"/>
  <c r="CJ79" i="12"/>
  <c r="CA97" i="12"/>
  <c r="BI115" i="12"/>
  <c r="BR116" i="12"/>
  <c r="CA135" i="12"/>
  <c r="AZ153" i="12"/>
  <c r="AH170" i="12"/>
  <c r="G189" i="12"/>
  <c r="Y206" i="12"/>
  <c r="Y225" i="12"/>
  <c r="CS60" i="12"/>
  <c r="G78" i="12"/>
  <c r="CS78" i="12"/>
  <c r="AZ98" i="12"/>
  <c r="BR115" i="12"/>
  <c r="CA116" i="12"/>
  <c r="BI135" i="12"/>
  <c r="CJ134" i="12"/>
  <c r="Y134" i="12"/>
  <c r="BI153" i="12"/>
  <c r="AQ170" i="12"/>
  <c r="P189" i="12"/>
  <c r="AH189" i="12"/>
  <c r="DB60" i="12"/>
  <c r="AH97" i="12"/>
  <c r="BR135" i="12"/>
  <c r="AQ171" i="12"/>
  <c r="AQ189" i="12"/>
  <c r="AQ207" i="12"/>
  <c r="BR207" i="12"/>
  <c r="CS207" i="12"/>
  <c r="AQ225" i="12"/>
  <c r="Y23" i="12"/>
  <c r="BR23" i="12"/>
  <c r="DB135" i="12"/>
  <c r="BI134" i="12"/>
  <c r="BI189" i="12"/>
  <c r="G225" i="12"/>
  <c r="DB23" i="12"/>
  <c r="BI23" i="12"/>
  <c r="Y78" i="12"/>
  <c r="G41" i="12"/>
  <c r="P79" i="12"/>
  <c r="CS115" i="12"/>
  <c r="CA170" i="12"/>
  <c r="AZ207" i="12"/>
  <c r="AH23" i="12"/>
  <c r="AQ22" i="12"/>
  <c r="Y41" i="12"/>
  <c r="P41" i="12"/>
  <c r="AH78" i="12"/>
  <c r="G98" i="12"/>
  <c r="AZ22" i="12"/>
  <c r="Y79" i="12"/>
  <c r="Y115" i="12"/>
  <c r="AZ135" i="12"/>
  <c r="G135" i="12"/>
  <c r="AZ189" i="12"/>
  <c r="CA189" i="12"/>
  <c r="DB189" i="12"/>
  <c r="CS189" i="12"/>
  <c r="BR225" i="12"/>
  <c r="Y224" i="12"/>
  <c r="G79" i="12"/>
  <c r="BR42" i="12"/>
  <c r="P98" i="12"/>
  <c r="AZ97" i="12"/>
  <c r="DB116" i="12"/>
  <c r="AH41" i="12"/>
  <c r="G116" i="12"/>
  <c r="CJ135" i="12"/>
  <c r="AQ42" i="12"/>
  <c r="CS41" i="12"/>
  <c r="AH79" i="12"/>
  <c r="Y98" i="12"/>
  <c r="AH98" i="12"/>
  <c r="CA98" i="12"/>
  <c r="DK135" i="12"/>
  <c r="CA153" i="12"/>
  <c r="CS171" i="12"/>
  <c r="BI188" i="12"/>
  <c r="CA207" i="12"/>
  <c r="CA225" i="12"/>
  <c r="DB153" i="12"/>
  <c r="AQ188" i="12"/>
  <c r="G206" i="12"/>
  <c r="CJ206" i="12"/>
  <c r="BI41" i="12"/>
  <c r="AZ79" i="12"/>
  <c r="BR78" i="12"/>
  <c r="AH116" i="12"/>
  <c r="AZ115" i="12"/>
  <c r="P135" i="12"/>
  <c r="P188" i="12"/>
  <c r="DB206" i="12"/>
  <c r="BI61" i="12"/>
  <c r="AH171" i="12"/>
  <c r="DB170" i="12"/>
  <c r="Y189" i="12"/>
  <c r="DK206" i="12"/>
  <c r="P42" i="12"/>
  <c r="AQ116" i="12"/>
  <c r="DK153" i="12"/>
  <c r="P170" i="12"/>
  <c r="DT170" i="12"/>
  <c r="BR153" i="12"/>
  <c r="P61" i="12"/>
  <c r="BI116" i="12"/>
  <c r="Y170" i="12"/>
  <c r="P207" i="12"/>
  <c r="CA171" i="12"/>
  <c r="AH61" i="12"/>
  <c r="AQ41" i="12"/>
  <c r="Y42" i="12"/>
  <c r="BI60" i="12"/>
  <c r="AQ78" i="12"/>
  <c r="BR97" i="12"/>
  <c r="CA134" i="12"/>
  <c r="P171" i="12"/>
  <c r="P206" i="12"/>
  <c r="DT206" i="12"/>
  <c r="AQ224" i="12"/>
  <c r="P22" i="12"/>
  <c r="AZ41" i="12"/>
  <c r="AH42" i="12"/>
  <c r="BR60" i="12"/>
  <c r="AZ78" i="12"/>
  <c r="BI98" i="12"/>
  <c r="CA152" i="12"/>
  <c r="Y171" i="12"/>
  <c r="AZ224" i="12"/>
  <c r="AH225" i="12"/>
  <c r="CA60" i="12"/>
  <c r="CJ97" i="12"/>
  <c r="CS134" i="12"/>
  <c r="CJ152" i="12"/>
  <c r="AZ170" i="12"/>
  <c r="AH206" i="12"/>
  <c r="BI224" i="12"/>
  <c r="BR41" i="12"/>
  <c r="CJ60" i="12"/>
  <c r="CS97" i="12"/>
  <c r="CJ115" i="12"/>
  <c r="DB134" i="12"/>
  <c r="CS152" i="12"/>
  <c r="BI170" i="12"/>
  <c r="AZ188" i="12"/>
  <c r="AQ206" i="12"/>
  <c r="BR224" i="12"/>
  <c r="Y22" i="12"/>
  <c r="AH22" i="12"/>
  <c r="BI42" i="12"/>
  <c r="CA78" i="12"/>
  <c r="CA224" i="12"/>
  <c r="CJ41" i="12"/>
  <c r="CJ78" i="12"/>
  <c r="DB115" i="12"/>
  <c r="P134" i="12"/>
  <c r="DT134" i="12"/>
  <c r="G152" i="12"/>
  <c r="DK152" i="12"/>
  <c r="BR188" i="12"/>
  <c r="BI206" i="12"/>
  <c r="CJ224" i="12"/>
  <c r="P97" i="12"/>
  <c r="G115" i="12"/>
  <c r="P152" i="12"/>
  <c r="CJ170" i="12"/>
  <c r="CA188" i="12"/>
  <c r="BR206" i="12"/>
  <c r="P60" i="12"/>
  <c r="DT60" i="12"/>
  <c r="Y97" i="12"/>
  <c r="P115" i="12"/>
  <c r="AH134" i="12"/>
  <c r="Y152" i="12"/>
  <c r="CS170" i="12"/>
  <c r="CJ188" i="12"/>
  <c r="CA206" i="12"/>
  <c r="CS188" i="12"/>
  <c r="G224" i="12"/>
  <c r="AH60" i="12"/>
  <c r="P78" i="12"/>
  <c r="AQ97" i="12"/>
  <c r="AH115" i="12"/>
  <c r="AZ134" i="12"/>
  <c r="AQ152" i="12"/>
  <c r="G170" i="12"/>
  <c r="DK170" i="12"/>
  <c r="DB188" i="12"/>
  <c r="CS206" i="12"/>
  <c r="P224" i="12"/>
</calcChain>
</file>

<file path=xl/sharedStrings.xml><?xml version="1.0" encoding="utf-8"?>
<sst xmlns="http://schemas.openxmlformats.org/spreadsheetml/2006/main" count="2519" uniqueCount="97">
  <si>
    <t xml:space="preserve">1 группа </t>
  </si>
  <si>
    <t>№</t>
  </si>
  <si>
    <t>метка</t>
  </si>
  <si>
    <t>А</t>
  </si>
  <si>
    <t>В</t>
  </si>
  <si>
    <t>С</t>
  </si>
  <si>
    <t>Объем,мм3</t>
  </si>
  <si>
    <t>Прим</t>
  </si>
  <si>
    <t>н/м</t>
  </si>
  <si>
    <t>М - Средний объем,мм3</t>
  </si>
  <si>
    <t>m - среднее отклонение</t>
  </si>
  <si>
    <t xml:space="preserve">2 группа </t>
  </si>
  <si>
    <t xml:space="preserve">3 группа </t>
  </si>
  <si>
    <t xml:space="preserve">4 группа </t>
  </si>
  <si>
    <t xml:space="preserve">5 группа </t>
  </si>
  <si>
    <t>PBS</t>
  </si>
  <si>
    <t>СТ26wt/balb/c</t>
  </si>
  <si>
    <t>↓ 1 в/о введение 100мкл</t>
  </si>
  <si>
    <t>↓ 2 в/о введение 100мкл</t>
  </si>
  <si>
    <t xml:space="preserve">6 группа </t>
  </si>
  <si>
    <t xml:space="preserve">7 группа </t>
  </si>
  <si>
    <t xml:space="preserve">8 группа </t>
  </si>
  <si>
    <t>400тыс/100мкл/мышь</t>
  </si>
  <si>
    <t>7 дро</t>
  </si>
  <si>
    <t>Перевивка 26.05.2025</t>
  </si>
  <si>
    <t>НК</t>
  </si>
  <si>
    <t>mRNA IL12</t>
  </si>
  <si>
    <t>mRNA GMCSF</t>
  </si>
  <si>
    <t>[mRNA IL12 + mRNA GMCSF] x 3</t>
  </si>
  <si>
    <t>[mRNA IL12 + mRNA GMCSF] x 1</t>
  </si>
  <si>
    <t>[mRNA IL12 + mRNA GMCSF] x 6</t>
  </si>
  <si>
    <t>[mRNA IL12 + mRNA GMCSF] + VSV</t>
  </si>
  <si>
    <t xml:space="preserve">9 группа </t>
  </si>
  <si>
    <t>([mRNA IL12 + mRNA GMCSF] + VSV) + aPD1</t>
  </si>
  <si>
    <t xml:space="preserve">10 группа </t>
  </si>
  <si>
    <t>VSV</t>
  </si>
  <si>
    <t xml:space="preserve">11 группа </t>
  </si>
  <si>
    <t>aPD1</t>
  </si>
  <si>
    <t xml:space="preserve">12группа </t>
  </si>
  <si>
    <t>IgG</t>
  </si>
  <si>
    <t>б/у</t>
  </si>
  <si>
    <t>↓ 1 в/о введение 50мкл</t>
  </si>
  <si>
    <t>↓ 1 в/о введение 110мкл</t>
  </si>
  <si>
    <t>10 дро</t>
  </si>
  <si>
    <t>↓ 2 в/о введение 110мкл</t>
  </si>
  <si>
    <t>↓ 2 в/о введение 110мкл; 1 в/в введение</t>
  </si>
  <si>
    <t>↓ 2 в/о введение 50мкл</t>
  </si>
  <si>
    <t>↓ 1 в/в введение</t>
  </si>
  <si>
    <t>х</t>
  </si>
  <si>
    <t>0+</t>
  </si>
  <si>
    <t>13 дро</t>
  </si>
  <si>
    <t>↓ 3 в/о введение 100мкл</t>
  </si>
  <si>
    <t>↓3 в/о введение 100мкл</t>
  </si>
  <si>
    <t>↓3 в/о введение 110мкл</t>
  </si>
  <si>
    <t>↓ 3 в/о введение 110мкл; 2 в/в введение</t>
  </si>
  <si>
    <t>↓ 3 в/о введение 50мкл</t>
  </si>
  <si>
    <t>↓ 2 в/в введение</t>
  </si>
  <si>
    <t>некроз</t>
  </si>
  <si>
    <t>16 дро</t>
  </si>
  <si>
    <t>↓ 3 в/в введение</t>
  </si>
  <si>
    <t>↓ 4 в/о введение 100мкл</t>
  </si>
  <si>
    <t>корка</t>
  </si>
  <si>
    <t>↓ 5 в/о введение 100мкл</t>
  </si>
  <si>
    <t>19 дро</t>
  </si>
  <si>
    <t>прорыв опухоли</t>
  </si>
  <si>
    <t>↓ 6 в/о введение 100мкл</t>
  </si>
  <si>
    <t>22 дро</t>
  </si>
  <si>
    <t>кратер</t>
  </si>
  <si>
    <t>вытекает немного</t>
  </si>
  <si>
    <t>25 дро</t>
  </si>
  <si>
    <t>вывели 25 дро</t>
  </si>
  <si>
    <t>29 дро</t>
  </si>
  <si>
    <t>вывели 29 дро</t>
  </si>
  <si>
    <t>гибель 29 дро</t>
  </si>
  <si>
    <t>вывели 33 дро</t>
  </si>
  <si>
    <t>33 дро</t>
  </si>
  <si>
    <t>вывели 33дро</t>
  </si>
  <si>
    <t>36 дро</t>
  </si>
  <si>
    <t>вывели 36 дро</t>
  </si>
  <si>
    <t>похудела</t>
  </si>
  <si>
    <t>лу?</t>
  </si>
  <si>
    <t>41 дро</t>
  </si>
  <si>
    <t>вывели 41 дро</t>
  </si>
  <si>
    <t>3?</t>
  </si>
  <si>
    <t>46 дро</t>
  </si>
  <si>
    <t>вывели 46 дро</t>
  </si>
  <si>
    <t>52 дро</t>
  </si>
  <si>
    <t>вывели 52 дро</t>
  </si>
  <si>
    <t>56 дро</t>
  </si>
  <si>
    <t>вывели 56 дро</t>
  </si>
  <si>
    <t>№ мышки</t>
  </si>
  <si>
    <t>X</t>
  </si>
  <si>
    <t>Y</t>
  </si>
  <si>
    <t>mean_corrected</t>
  </si>
  <si>
    <t>Days</t>
  </si>
  <si>
    <t>Simulation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</si>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</sst>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scheme val="minor"/>
    </font>
    <font>
      <b/>
      <u/>
      <sz val="10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7"/>
      <color rgb="FF333333"/>
      <name val="Verdan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0" fillId="2" borderId="0" xfId="0" applyFill="1"/>
    <xf numFmtId="0" fontId="1" fillId="0" borderId="0" xfId="0" applyFont="1"/>
    <xf numFmtId="0" fontId="1" fillId="2" borderId="1" xfId="0" applyFont="1" applyFill="1" applyBorder="1"/>
    <xf numFmtId="14" fontId="1" fillId="0" borderId="2" xfId="1" applyNumberFormat="1" applyFont="1" applyBorder="1"/>
    <xf numFmtId="0" fontId="7" fillId="2" borderId="1" xfId="0" applyFont="1" applyFill="1" applyBorder="1"/>
    <xf numFmtId="0" fontId="7" fillId="0" borderId="1" xfId="0" applyFont="1" applyBorder="1"/>
    <xf numFmtId="0" fontId="8" fillId="2" borderId="1" xfId="0" applyFont="1" applyFill="1" applyBorder="1"/>
    <xf numFmtId="0" fontId="9" fillId="2" borderId="1" xfId="0" applyFont="1" applyFill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0" fillId="2" borderId="1" xfId="0" applyNumberFormat="1" applyFill="1" applyBorder="1"/>
    <xf numFmtId="164" fontId="3" fillId="2" borderId="1" xfId="0" applyNumberFormat="1" applyFont="1" applyFill="1" applyBorder="1"/>
    <xf numFmtId="164" fontId="10" fillId="0" borderId="1" xfId="0" applyNumberFormat="1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1" fillId="3" borderId="0" xfId="0" applyFont="1" applyFill="1"/>
    <xf numFmtId="164" fontId="1" fillId="3" borderId="1" xfId="0" applyNumberFormat="1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0" xfId="0" applyFont="1" applyFill="1"/>
    <xf numFmtId="0" fontId="0" fillId="4" borderId="0" xfId="0" applyFill="1"/>
    <xf numFmtId="0" fontId="7" fillId="4" borderId="1" xfId="0" applyFont="1" applyFill="1" applyBorder="1"/>
    <xf numFmtId="0" fontId="8" fillId="4" borderId="1" xfId="0" applyFont="1" applyFill="1" applyBorder="1"/>
    <xf numFmtId="0" fontId="9" fillId="4" borderId="1" xfId="0" applyFont="1" applyFill="1" applyBorder="1"/>
    <xf numFmtId="0" fontId="6" fillId="0" borderId="3" xfId="1" applyBorder="1" applyAlignment="1">
      <alignment horizontal="left"/>
    </xf>
    <xf numFmtId="164" fontId="0" fillId="4" borderId="1" xfId="0" applyNumberFormat="1" applyFill="1" applyBorder="1"/>
    <xf numFmtId="164" fontId="3" fillId="4" borderId="1" xfId="0" applyNumberFormat="1" applyFont="1" applyFill="1" applyBorder="1"/>
    <xf numFmtId="0" fontId="6" fillId="0" borderId="1" xfId="1" applyBorder="1" applyAlignment="1">
      <alignment horizontal="left"/>
    </xf>
    <xf numFmtId="0" fontId="10" fillId="0" borderId="1" xfId="1" applyFont="1" applyBorder="1" applyAlignment="1">
      <alignment horizontal="left"/>
    </xf>
    <xf numFmtId="164" fontId="0" fillId="0" borderId="4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1" fillId="5" borderId="0" xfId="0" applyFont="1" applyFill="1"/>
    <xf numFmtId="0" fontId="0" fillId="5" borderId="0" xfId="0" applyFill="1"/>
    <xf numFmtId="0" fontId="7" fillId="5" borderId="1" xfId="0" applyFont="1" applyFill="1" applyBorder="1"/>
    <xf numFmtId="0" fontId="8" fillId="5" borderId="1" xfId="0" applyFont="1" applyFill="1" applyBorder="1"/>
    <xf numFmtId="0" fontId="9" fillId="5" borderId="1" xfId="0" applyFont="1" applyFill="1" applyBorder="1"/>
    <xf numFmtId="0" fontId="0" fillId="0" borderId="1" xfId="0" applyBorder="1"/>
    <xf numFmtId="164" fontId="0" fillId="5" borderId="1" xfId="0" applyNumberFormat="1" applyFill="1" applyBorder="1"/>
    <xf numFmtId="0" fontId="3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3" fillId="3" borderId="1" xfId="0" applyFont="1" applyFill="1" applyBorder="1"/>
    <xf numFmtId="0" fontId="1" fillId="6" borderId="0" xfId="0" applyFont="1" applyFill="1"/>
    <xf numFmtId="0" fontId="0" fillId="6" borderId="0" xfId="0" applyFill="1"/>
    <xf numFmtId="0" fontId="7" fillId="6" borderId="1" xfId="0" applyFont="1" applyFill="1" applyBorder="1"/>
    <xf numFmtId="0" fontId="8" fillId="6" borderId="1" xfId="0" applyFont="1" applyFill="1" applyBorder="1"/>
    <xf numFmtId="0" fontId="9" fillId="6" borderId="1" xfId="0" applyFont="1" applyFill="1" applyBorder="1"/>
    <xf numFmtId="164" fontId="0" fillId="6" borderId="1" xfId="0" applyNumberFormat="1" applyFill="1" applyBorder="1"/>
    <xf numFmtId="0" fontId="0" fillId="6" borderId="1" xfId="0" applyFill="1" applyBorder="1"/>
    <xf numFmtId="164" fontId="6" fillId="0" borderId="1" xfId="1" applyNumberFormat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1" fillId="7" borderId="0" xfId="0" applyFont="1" applyFill="1"/>
    <xf numFmtId="0" fontId="0" fillId="7" borderId="0" xfId="0" applyFill="1"/>
    <xf numFmtId="0" fontId="7" fillId="7" borderId="1" xfId="0" applyFont="1" applyFill="1" applyBorder="1"/>
    <xf numFmtId="0" fontId="8" fillId="7" borderId="1" xfId="0" applyFont="1" applyFill="1" applyBorder="1"/>
    <xf numFmtId="0" fontId="9" fillId="7" borderId="1" xfId="0" applyFont="1" applyFill="1" applyBorder="1"/>
    <xf numFmtId="164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1" fillId="4" borderId="0" xfId="0" applyFont="1" applyFill="1" applyAlignment="1">
      <alignment horizontal="left"/>
    </xf>
    <xf numFmtId="164" fontId="3" fillId="7" borderId="1" xfId="0" applyNumberFormat="1" applyFont="1" applyFill="1" applyBorder="1"/>
    <xf numFmtId="0" fontId="1" fillId="7" borderId="0" xfId="0" applyFont="1" applyFill="1" applyAlignment="1">
      <alignment horizontal="left"/>
    </xf>
    <xf numFmtId="0" fontId="0" fillId="2" borderId="1" xfId="0" applyFill="1" applyBorder="1"/>
    <xf numFmtId="0" fontId="3" fillId="2" borderId="1" xfId="0" applyFont="1" applyFill="1" applyBorder="1"/>
    <xf numFmtId="164" fontId="9" fillId="5" borderId="1" xfId="0" applyNumberFormat="1" applyFont="1" applyFill="1" applyBorder="1"/>
    <xf numFmtId="0" fontId="11" fillId="7" borderId="1" xfId="0" applyFont="1" applyFill="1" applyBorder="1"/>
    <xf numFmtId="0" fontId="7" fillId="0" borderId="1" xfId="0" applyFont="1" applyBorder="1" applyAlignment="1">
      <alignment horizontal="right"/>
    </xf>
    <xf numFmtId="0" fontId="0" fillId="8" borderId="0" xfId="0" applyFill="1"/>
    <xf numFmtId="0" fontId="7" fillId="6" borderId="1" xfId="0" applyFont="1" applyFill="1" applyBorder="1" applyAlignment="1">
      <alignment horizontal="right"/>
    </xf>
    <xf numFmtId="164" fontId="0" fillId="9" borderId="1" xfId="0" applyNumberFormat="1" applyFill="1" applyBorder="1"/>
    <xf numFmtId="164" fontId="0" fillId="10" borderId="1" xfId="0" applyNumberFormat="1" applyFill="1" applyBorder="1"/>
    <xf numFmtId="164" fontId="0" fillId="10" borderId="1" xfId="0" applyNumberFormat="1" applyFill="1" applyBorder="1" applyAlignment="1">
      <alignment horizontal="right"/>
    </xf>
    <xf numFmtId="164" fontId="3" fillId="10" borderId="1" xfId="0" applyNumberFormat="1" applyFont="1" applyFill="1" applyBorder="1"/>
    <xf numFmtId="0" fontId="12" fillId="7" borderId="1" xfId="0" applyFont="1" applyFill="1" applyBorder="1"/>
    <xf numFmtId="164" fontId="10" fillId="10" borderId="1" xfId="0" applyNumberFormat="1" applyFont="1" applyFill="1" applyBorder="1" applyAlignment="1">
      <alignment horizontal="right"/>
    </xf>
    <xf numFmtId="164" fontId="0" fillId="10" borderId="4" xfId="0" applyNumberFormat="1" applyFill="1" applyBorder="1"/>
    <xf numFmtId="164" fontId="0" fillId="11" borderId="1" xfId="0" applyNumberFormat="1" applyFill="1" applyBorder="1"/>
    <xf numFmtId="164" fontId="0" fillId="11" borderId="1" xfId="0" applyNumberFormat="1" applyFill="1" applyBorder="1" applyAlignment="1">
      <alignment horizontal="right"/>
    </xf>
    <xf numFmtId="164" fontId="10" fillId="11" borderId="1" xfId="0" applyNumberFormat="1" applyFont="1" applyFill="1" applyBorder="1" applyAlignment="1">
      <alignment horizontal="right"/>
    </xf>
    <xf numFmtId="164" fontId="6" fillId="11" borderId="1" xfId="1" applyNumberFormat="1" applyFill="1" applyBorder="1" applyAlignment="1">
      <alignment horizontal="right"/>
    </xf>
    <xf numFmtId="164" fontId="3" fillId="5" borderId="1" xfId="0" applyNumberFormat="1" applyFont="1" applyFill="1" applyBorder="1"/>
    <xf numFmtId="0" fontId="3" fillId="8" borderId="1" xfId="0" applyFont="1" applyFill="1" applyBorder="1"/>
    <xf numFmtId="0" fontId="0" fillId="9" borderId="0" xfId="0" applyFill="1"/>
    <xf numFmtId="164" fontId="0" fillId="8" borderId="1" xfId="0" applyNumberFormat="1" applyFill="1" applyBorder="1"/>
    <xf numFmtId="164" fontId="3" fillId="8" borderId="1" xfId="0" applyNumberFormat="1" applyFont="1" applyFill="1" applyBorder="1"/>
    <xf numFmtId="0" fontId="0" fillId="0" borderId="1" xfId="0" applyFill="1" applyBorder="1"/>
    <xf numFmtId="0" fontId="7" fillId="0" borderId="1" xfId="0" applyFont="1" applyFill="1" applyBorder="1"/>
    <xf numFmtId="0" fontId="10" fillId="0" borderId="1" xfId="1" applyFont="1" applyFill="1" applyBorder="1" applyAlignment="1">
      <alignment horizontal="left"/>
    </xf>
    <xf numFmtId="0" fontId="6" fillId="0" borderId="1" xfId="1" applyFill="1" applyBorder="1" applyAlignment="1">
      <alignment horizontal="left"/>
    </xf>
    <xf numFmtId="0" fontId="0" fillId="0" borderId="0" xfId="0" applyBorder="1"/>
    <xf numFmtId="164" fontId="0" fillId="0" borderId="0" xfId="0" applyNumberFormat="1" applyBorder="1" applyAlignment="1">
      <alignment horizontal="right"/>
    </xf>
    <xf numFmtId="164" fontId="0" fillId="0" borderId="1" xfId="0" applyNumberFormat="1" applyFill="1" applyBorder="1"/>
    <xf numFmtId="164" fontId="0" fillId="0" borderId="0" xfId="0" applyNumberFormat="1" applyFill="1" applyBorder="1"/>
    <xf numFmtId="0" fontId="13" fillId="0" borderId="0" xfId="0" applyFont="1"/>
    <xf numFmtId="0" fontId="0" fillId="12" borderId="0" xfId="0" applyFont="1" applyFill="1"/>
    <xf numFmtId="0" fontId="0" fillId="12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225"/>
  <sheetViews>
    <sheetView topLeftCell="BI1" zoomScaleNormal="100" workbookViewId="0">
      <selection activeCell="DT161" activeCellId="13" sqref="G161:G169 P161:P169 Y161:Y169 AH161:AH169 AQ161:AQ169 AZ161:AZ169 BI161:BI169 BR161:BR169 CA161:CA169 CJ161:CJ169 CS161:CS169 DB161:DB169 DK161:DK169 DT161:DT169"/>
    </sheetView>
  </sheetViews>
  <sheetFormatPr defaultRowHeight="15" x14ac:dyDescent="0.25"/>
  <cols>
    <col min="3" max="3" width="11.5703125" bestFit="1" customWidth="1"/>
    <col min="7" max="7" width="11.28515625" customWidth="1"/>
    <col min="12" max="12" width="11.5703125" bestFit="1" customWidth="1"/>
    <col min="16" max="16" width="11.28515625" customWidth="1"/>
    <col min="21" max="21" width="11.5703125" bestFit="1" customWidth="1"/>
    <col min="25" max="25" width="11.28515625" customWidth="1"/>
    <col min="30" max="30" width="11.5703125" bestFit="1" customWidth="1"/>
    <col min="34" max="34" width="11.28515625" customWidth="1"/>
    <col min="39" max="39" width="11.5703125" bestFit="1" customWidth="1"/>
    <col min="43" max="43" width="11.28515625" customWidth="1"/>
    <col min="48" max="48" width="11.5703125" bestFit="1" customWidth="1"/>
    <col min="52" max="52" width="11.28515625" customWidth="1"/>
    <col min="57" max="57" width="12" bestFit="1" customWidth="1"/>
    <col min="61" max="61" width="11.28515625" customWidth="1"/>
    <col min="66" max="66" width="12" bestFit="1" customWidth="1"/>
    <col min="70" max="70" width="11.28515625" customWidth="1"/>
    <col min="75" max="75" width="12" bestFit="1" customWidth="1"/>
    <col min="79" max="79" width="11.28515625" customWidth="1"/>
    <col min="84" max="84" width="11.5703125" bestFit="1" customWidth="1"/>
    <col min="88" max="88" width="11.28515625" customWidth="1"/>
    <col min="93" max="93" width="11.5703125" bestFit="1" customWidth="1"/>
    <col min="97" max="97" width="11.28515625" customWidth="1"/>
    <col min="102" max="102" width="11.5703125" bestFit="1" customWidth="1"/>
    <col min="106" max="106" width="11.28515625" customWidth="1"/>
    <col min="111" max="111" width="11.5703125" bestFit="1" customWidth="1"/>
    <col min="115" max="115" width="11.28515625" customWidth="1"/>
    <col min="120" max="120" width="11.5703125" bestFit="1" customWidth="1"/>
    <col min="124" max="124" width="11.28515625" customWidth="1"/>
  </cols>
  <sheetData>
    <row r="1" spans="1:128" ht="18.75" x14ac:dyDescent="0.3">
      <c r="A1" s="1" t="s">
        <v>16</v>
      </c>
      <c r="B1" s="1"/>
      <c r="C1" s="2"/>
      <c r="D1" s="1" t="s">
        <v>22</v>
      </c>
      <c r="E1" s="2"/>
      <c r="F1" s="3"/>
      <c r="G1" s="3"/>
      <c r="J1" s="1"/>
      <c r="K1" s="1"/>
      <c r="L1" s="2"/>
      <c r="M1" s="1"/>
      <c r="N1" s="2"/>
      <c r="O1" s="3"/>
      <c r="P1" s="3"/>
      <c r="S1" s="1"/>
      <c r="T1" s="1"/>
      <c r="U1" s="2"/>
      <c r="V1" s="1"/>
      <c r="W1" s="2"/>
      <c r="X1" s="3"/>
      <c r="Y1" s="3"/>
      <c r="AB1" s="1"/>
      <c r="AC1" s="1"/>
      <c r="AD1" s="2"/>
      <c r="AE1" s="1"/>
      <c r="AF1" s="2"/>
      <c r="AG1" s="3"/>
      <c r="AH1" s="3"/>
      <c r="AK1" s="1"/>
      <c r="AL1" s="1"/>
      <c r="AM1" s="2"/>
      <c r="AN1" s="1"/>
      <c r="AO1" s="2"/>
      <c r="AP1" s="3"/>
      <c r="AQ1" s="3"/>
      <c r="AT1" s="1"/>
      <c r="AU1" s="1"/>
      <c r="AV1" s="2"/>
      <c r="AW1" s="1"/>
      <c r="AX1" s="2"/>
      <c r="AY1" s="3"/>
      <c r="AZ1" s="3"/>
      <c r="BC1" s="1"/>
      <c r="BD1" s="1"/>
      <c r="BE1" s="2"/>
      <c r="BF1" s="1"/>
      <c r="BG1" s="2"/>
      <c r="BH1" s="3"/>
      <c r="BI1" s="3"/>
      <c r="BL1" s="1"/>
      <c r="BM1" s="1"/>
      <c r="BN1" s="2"/>
      <c r="BO1" s="1"/>
      <c r="BP1" s="2"/>
      <c r="BQ1" s="3"/>
      <c r="BR1" s="3"/>
      <c r="BU1" s="1"/>
      <c r="BV1" s="1"/>
      <c r="BW1" s="2"/>
      <c r="BX1" s="1"/>
      <c r="BY1" s="2"/>
      <c r="BZ1" s="3"/>
      <c r="CA1" s="3"/>
      <c r="CD1" s="1"/>
      <c r="CE1" s="1"/>
      <c r="CF1" s="2"/>
      <c r="CG1" s="1"/>
      <c r="CH1" s="2"/>
      <c r="CI1" s="3"/>
      <c r="CJ1" s="3"/>
      <c r="CM1" s="1"/>
      <c r="CN1" s="1"/>
      <c r="CO1" s="2"/>
      <c r="CP1" s="1"/>
      <c r="CQ1" s="2"/>
      <c r="CR1" s="3"/>
      <c r="CS1" s="3"/>
      <c r="CV1" s="1"/>
      <c r="CW1" s="1"/>
      <c r="CX1" s="2"/>
      <c r="CY1" s="1"/>
      <c r="CZ1" s="2"/>
      <c r="DA1" s="3"/>
      <c r="DB1" s="3"/>
      <c r="DE1" s="1"/>
      <c r="DF1" s="1"/>
      <c r="DG1" s="2"/>
      <c r="DH1" s="1"/>
      <c r="DI1" s="2"/>
      <c r="DJ1" s="3"/>
      <c r="DK1" s="3"/>
      <c r="DN1" s="1"/>
      <c r="DO1" s="1"/>
      <c r="DP1" s="2"/>
      <c r="DQ1" s="1"/>
      <c r="DR1" s="2"/>
      <c r="DS1" s="3"/>
      <c r="DT1" s="3"/>
    </row>
    <row r="2" spans="1:128" x14ac:dyDescent="0.25">
      <c r="A2" s="1" t="s">
        <v>24</v>
      </c>
      <c r="B2" s="1"/>
      <c r="C2" s="1"/>
      <c r="D2" s="1"/>
      <c r="E2" s="2"/>
      <c r="J2" s="1"/>
      <c r="K2" s="1"/>
      <c r="L2" s="1"/>
      <c r="M2" s="1"/>
      <c r="N2" s="2"/>
      <c r="S2" s="1"/>
      <c r="T2" s="1"/>
      <c r="U2" s="1"/>
      <c r="V2" s="1"/>
      <c r="W2" s="2"/>
      <c r="AB2" s="1"/>
      <c r="AC2" s="1"/>
      <c r="AD2" s="1"/>
      <c r="AE2" s="1"/>
      <c r="AF2" s="2"/>
      <c r="AK2" s="1"/>
      <c r="AL2" s="1"/>
      <c r="AM2" s="1"/>
      <c r="AN2" s="1"/>
      <c r="AO2" s="2"/>
      <c r="AT2" s="1"/>
      <c r="AU2" s="1"/>
      <c r="AV2" s="1"/>
      <c r="AW2" s="1"/>
      <c r="AX2" s="2"/>
      <c r="BC2" s="1"/>
      <c r="BD2" s="1"/>
      <c r="BE2" s="1"/>
      <c r="BF2" s="1"/>
      <c r="BG2" s="2"/>
      <c r="BL2" s="1"/>
      <c r="BM2" s="1"/>
      <c r="BN2" s="1"/>
      <c r="BO2" s="1"/>
      <c r="BP2" s="2"/>
      <c r="BU2" s="1"/>
      <c r="BV2" s="1"/>
      <c r="BW2" s="1"/>
      <c r="BX2" s="1"/>
      <c r="BY2" s="2"/>
      <c r="CD2" s="1"/>
      <c r="CE2" s="1"/>
      <c r="CF2" s="1"/>
      <c r="CG2" s="1"/>
      <c r="CH2" s="2"/>
      <c r="CM2" s="1"/>
      <c r="CN2" s="1"/>
      <c r="CO2" s="1"/>
      <c r="CP2" s="1"/>
      <c r="CQ2" s="2"/>
      <c r="CV2" s="1"/>
      <c r="CW2" s="1"/>
      <c r="CX2" s="1"/>
      <c r="CY2" s="1"/>
      <c r="CZ2" s="2"/>
      <c r="DE2" s="1"/>
      <c r="DF2" s="1"/>
      <c r="DG2" s="1"/>
      <c r="DH2" s="1"/>
      <c r="DI2" s="2"/>
      <c r="DN2" s="1"/>
      <c r="DO2" s="1"/>
      <c r="DP2" s="1"/>
      <c r="DQ2" s="1"/>
      <c r="DR2" s="2"/>
    </row>
    <row r="3" spans="1:128" x14ac:dyDescent="0.25">
      <c r="A3" s="2"/>
      <c r="B3" s="2"/>
      <c r="C3" s="2"/>
      <c r="D3" s="2"/>
      <c r="E3" s="2"/>
      <c r="J3" s="2"/>
      <c r="K3" s="2"/>
      <c r="L3" s="2"/>
      <c r="M3" s="2"/>
      <c r="N3" s="2"/>
      <c r="S3" s="2"/>
      <c r="T3" s="2"/>
      <c r="U3" s="2"/>
      <c r="V3" s="2"/>
      <c r="W3" s="2"/>
      <c r="AB3" s="2"/>
      <c r="AC3" s="2"/>
      <c r="AD3" s="2"/>
      <c r="AE3" s="2"/>
      <c r="AF3" s="2"/>
      <c r="AK3" s="2"/>
      <c r="AL3" s="2"/>
      <c r="AM3" s="2"/>
      <c r="AN3" s="2"/>
      <c r="AO3" s="2"/>
      <c r="AT3" s="2"/>
      <c r="AU3" s="2"/>
      <c r="AV3" s="2"/>
      <c r="AW3" s="2"/>
      <c r="AX3" s="2"/>
      <c r="BC3" s="2"/>
      <c r="BD3" s="2"/>
      <c r="BE3" s="2"/>
      <c r="BF3" s="2"/>
      <c r="BG3" s="2"/>
      <c r="BL3" s="2"/>
      <c r="BM3" s="2"/>
      <c r="BN3" s="2"/>
      <c r="BO3" s="2"/>
      <c r="BP3" s="2"/>
      <c r="BU3" s="2"/>
      <c r="BV3" s="2"/>
      <c r="BW3" s="2"/>
      <c r="BX3" s="2"/>
      <c r="BY3" s="2"/>
      <c r="CD3" s="2"/>
      <c r="CE3" s="2"/>
      <c r="CF3" s="2"/>
      <c r="CG3" s="2"/>
      <c r="CH3" s="2"/>
      <c r="CM3" s="2"/>
      <c r="CN3" s="2"/>
      <c r="CO3" s="2"/>
      <c r="CP3" s="2"/>
      <c r="CQ3" s="2"/>
      <c r="CV3" s="2"/>
      <c r="CW3" s="2"/>
      <c r="CX3" s="2"/>
      <c r="CY3" s="2"/>
      <c r="CZ3" s="2"/>
      <c r="DE3" s="2"/>
      <c r="DF3" s="2"/>
      <c r="DG3" s="2"/>
      <c r="DH3" s="2"/>
      <c r="DI3" s="2"/>
      <c r="DN3" s="2"/>
      <c r="DO3" s="2"/>
      <c r="DP3" s="2"/>
      <c r="DQ3" s="2"/>
      <c r="DR3" s="2"/>
    </row>
    <row r="6" spans="1:128" x14ac:dyDescent="0.25">
      <c r="A6" s="4" t="s">
        <v>0</v>
      </c>
      <c r="B6" s="4"/>
      <c r="G6" s="5" t="s">
        <v>17</v>
      </c>
      <c r="J6" s="4" t="s">
        <v>0</v>
      </c>
      <c r="K6" s="4"/>
      <c r="P6" s="5" t="s">
        <v>18</v>
      </c>
      <c r="S6" s="4" t="s">
        <v>0</v>
      </c>
      <c r="T6" s="4"/>
      <c r="Y6" s="5" t="s">
        <v>51</v>
      </c>
      <c r="AB6" s="4" t="s">
        <v>0</v>
      </c>
      <c r="AC6" s="4"/>
      <c r="AH6" s="5"/>
      <c r="AK6" s="4" t="s">
        <v>0</v>
      </c>
      <c r="AL6" s="4"/>
      <c r="AQ6" s="5"/>
      <c r="AT6" s="4" t="s">
        <v>0</v>
      </c>
      <c r="AU6" s="4"/>
      <c r="AZ6" s="5"/>
      <c r="BC6" s="4" t="s">
        <v>0</v>
      </c>
      <c r="BD6" s="4"/>
      <c r="BI6" s="5"/>
      <c r="BL6" s="4" t="s">
        <v>0</v>
      </c>
      <c r="BM6" s="4"/>
      <c r="BR6" s="5"/>
      <c r="BU6" s="4" t="s">
        <v>0</v>
      </c>
      <c r="BV6" s="4"/>
      <c r="CA6" s="5"/>
      <c r="CD6" s="4" t="s">
        <v>0</v>
      </c>
      <c r="CE6" s="4"/>
      <c r="CJ6" s="5"/>
      <c r="CM6" s="4" t="s">
        <v>0</v>
      </c>
      <c r="CN6" s="4"/>
      <c r="CS6" s="5"/>
      <c r="CV6" s="4" t="s">
        <v>0</v>
      </c>
      <c r="CW6" s="4"/>
      <c r="DB6" s="5"/>
      <c r="DE6" s="4" t="s">
        <v>0</v>
      </c>
      <c r="DF6" s="4"/>
      <c r="DK6" s="5"/>
      <c r="DN6" s="4" t="s">
        <v>0</v>
      </c>
      <c r="DO6" s="4"/>
      <c r="DT6" s="5"/>
    </row>
    <row r="7" spans="1:128" x14ac:dyDescent="0.25">
      <c r="A7" s="6"/>
      <c r="B7" s="6"/>
      <c r="G7" s="7" t="s">
        <v>23</v>
      </c>
      <c r="J7" s="6"/>
      <c r="K7" s="6"/>
      <c r="P7" s="7" t="s">
        <v>43</v>
      </c>
      <c r="S7" s="6"/>
      <c r="T7" s="6"/>
      <c r="Y7" s="7" t="s">
        <v>50</v>
      </c>
      <c r="AB7" s="6"/>
      <c r="AC7" s="6"/>
      <c r="AH7" s="7" t="s">
        <v>58</v>
      </c>
      <c r="AK7" s="6"/>
      <c r="AL7" s="6"/>
      <c r="AQ7" s="7" t="s">
        <v>63</v>
      </c>
      <c r="AT7" s="6"/>
      <c r="AU7" s="6"/>
      <c r="AZ7" s="7" t="s">
        <v>66</v>
      </c>
      <c r="BC7" s="6"/>
      <c r="BD7" s="6"/>
      <c r="BI7" s="7" t="s">
        <v>69</v>
      </c>
      <c r="BL7" s="6"/>
      <c r="BM7" s="6"/>
      <c r="BR7" s="7" t="s">
        <v>71</v>
      </c>
      <c r="BU7" s="6"/>
      <c r="BV7" s="6"/>
      <c r="CA7" s="7" t="s">
        <v>75</v>
      </c>
      <c r="CD7" s="6"/>
      <c r="CE7" s="6"/>
      <c r="CJ7" s="7" t="s">
        <v>77</v>
      </c>
      <c r="CM7" s="6"/>
      <c r="CN7" s="6"/>
      <c r="CS7" s="7" t="s">
        <v>81</v>
      </c>
      <c r="CV7" s="6"/>
      <c r="CW7" s="6"/>
      <c r="DB7" s="7" t="s">
        <v>84</v>
      </c>
      <c r="DE7" s="6"/>
      <c r="DF7" s="6"/>
      <c r="DK7" s="7" t="s">
        <v>86</v>
      </c>
      <c r="DN7" s="6"/>
      <c r="DO7" s="6"/>
      <c r="DT7" s="7" t="s">
        <v>88</v>
      </c>
    </row>
    <row r="8" spans="1:128" x14ac:dyDescent="0.25">
      <c r="A8" s="4" t="s">
        <v>15</v>
      </c>
      <c r="B8" s="4"/>
      <c r="G8" s="5"/>
      <c r="J8" s="4" t="s">
        <v>15</v>
      </c>
      <c r="K8" s="4"/>
      <c r="P8" s="5"/>
      <c r="S8" s="4" t="s">
        <v>15</v>
      </c>
      <c r="T8" s="4"/>
      <c r="Y8" s="5"/>
      <c r="AB8" s="4" t="s">
        <v>15</v>
      </c>
      <c r="AC8" s="4"/>
      <c r="AH8" s="5"/>
      <c r="AK8" s="4" t="s">
        <v>15</v>
      </c>
      <c r="AL8" s="4"/>
      <c r="AQ8" s="5"/>
      <c r="AT8" s="4" t="s">
        <v>15</v>
      </c>
      <c r="AU8" s="4"/>
      <c r="AZ8" s="5"/>
      <c r="BC8" s="4" t="s">
        <v>15</v>
      </c>
      <c r="BD8" s="4"/>
      <c r="BI8" s="5"/>
      <c r="BL8" s="4" t="s">
        <v>15</v>
      </c>
      <c r="BM8" s="4"/>
      <c r="BR8" s="5"/>
      <c r="BU8" s="4" t="s">
        <v>15</v>
      </c>
      <c r="BV8" s="4"/>
      <c r="CA8" s="5"/>
      <c r="CD8" s="4" t="s">
        <v>15</v>
      </c>
      <c r="CE8" s="4"/>
      <c r="CJ8" s="5"/>
      <c r="CM8" s="4" t="s">
        <v>15</v>
      </c>
      <c r="CN8" s="4"/>
      <c r="CS8" s="5"/>
      <c r="CV8" s="4" t="s">
        <v>15</v>
      </c>
      <c r="CW8" s="4"/>
      <c r="DB8" s="5"/>
      <c r="DE8" s="4" t="s">
        <v>15</v>
      </c>
      <c r="DF8" s="4"/>
      <c r="DK8" s="5"/>
      <c r="DN8" s="4" t="s">
        <v>15</v>
      </c>
      <c r="DO8" s="4"/>
      <c r="DT8" s="5"/>
    </row>
    <row r="9" spans="1:128" x14ac:dyDescent="0.25">
      <c r="A9" s="6"/>
      <c r="B9" s="6"/>
      <c r="J9" s="6"/>
      <c r="K9" s="6"/>
      <c r="S9" s="6"/>
      <c r="T9" s="6"/>
      <c r="AB9" s="6"/>
      <c r="AC9" s="6"/>
      <c r="AK9" s="6"/>
      <c r="AL9" s="6"/>
      <c r="AT9" s="6"/>
      <c r="AU9" s="6"/>
      <c r="BC9" s="6"/>
      <c r="BD9" s="6"/>
      <c r="BL9" s="6"/>
      <c r="BM9" s="6"/>
      <c r="BU9" s="6"/>
      <c r="BV9" s="6"/>
      <c r="CD9" s="6"/>
      <c r="CE9" s="6"/>
      <c r="CM9" s="6"/>
      <c r="CN9" s="6"/>
      <c r="CV9" s="6"/>
      <c r="CW9" s="6"/>
      <c r="DE9" s="6"/>
      <c r="DF9" s="6"/>
      <c r="DN9" s="6"/>
      <c r="DO9" s="6"/>
    </row>
    <row r="10" spans="1:128" x14ac:dyDescent="0.25">
      <c r="A10" s="8" t="s">
        <v>1</v>
      </c>
      <c r="B10" s="8" t="s">
        <v>2</v>
      </c>
      <c r="C10" s="9">
        <v>45810</v>
      </c>
      <c r="D10" s="9"/>
      <c r="E10" s="9"/>
      <c r="F10" s="9"/>
      <c r="J10" s="8" t="s">
        <v>1</v>
      </c>
      <c r="K10" s="8" t="s">
        <v>2</v>
      </c>
      <c r="L10" s="9">
        <v>45813</v>
      </c>
      <c r="M10" s="9"/>
      <c r="N10" s="9"/>
      <c r="O10" s="9"/>
      <c r="S10" s="8" t="s">
        <v>1</v>
      </c>
      <c r="T10" s="8" t="s">
        <v>2</v>
      </c>
      <c r="U10" s="9">
        <v>45816</v>
      </c>
      <c r="V10" s="9"/>
      <c r="W10" s="9"/>
      <c r="X10" s="9"/>
      <c r="AB10" s="8" t="s">
        <v>1</v>
      </c>
      <c r="AC10" s="8" t="s">
        <v>2</v>
      </c>
      <c r="AD10" s="9">
        <v>45819</v>
      </c>
      <c r="AE10" s="9"/>
      <c r="AF10" s="9"/>
      <c r="AG10" s="9"/>
      <c r="AK10" s="8" t="s">
        <v>1</v>
      </c>
      <c r="AL10" s="8" t="s">
        <v>2</v>
      </c>
      <c r="AM10" s="9">
        <v>45822</v>
      </c>
      <c r="AN10" s="9"/>
      <c r="AO10" s="9"/>
      <c r="AP10" s="9"/>
      <c r="AT10" s="8" t="s">
        <v>1</v>
      </c>
      <c r="AU10" s="8" t="s">
        <v>2</v>
      </c>
      <c r="AV10" s="9">
        <v>45825</v>
      </c>
      <c r="AW10" s="9"/>
      <c r="AX10" s="9"/>
      <c r="AY10" s="9"/>
      <c r="BC10" s="8" t="s">
        <v>1</v>
      </c>
      <c r="BD10" s="8" t="s">
        <v>2</v>
      </c>
      <c r="BE10" s="9">
        <v>45828</v>
      </c>
      <c r="BF10" s="9"/>
      <c r="BG10" s="9"/>
      <c r="BH10" s="9"/>
      <c r="BL10" s="8" t="s">
        <v>1</v>
      </c>
      <c r="BM10" s="8" t="s">
        <v>2</v>
      </c>
      <c r="BN10" s="9">
        <v>45832</v>
      </c>
      <c r="BO10" s="9"/>
      <c r="BP10" s="9"/>
      <c r="BQ10" s="9"/>
      <c r="BU10" s="8" t="s">
        <v>1</v>
      </c>
      <c r="BV10" s="8" t="s">
        <v>2</v>
      </c>
      <c r="BW10" s="9">
        <v>45836</v>
      </c>
      <c r="BX10" s="9"/>
      <c r="BY10" s="9"/>
      <c r="BZ10" s="9"/>
      <c r="CD10" s="8" t="s">
        <v>1</v>
      </c>
      <c r="CE10" s="8" t="s">
        <v>2</v>
      </c>
      <c r="CF10" s="9">
        <v>45839</v>
      </c>
      <c r="CG10" s="9"/>
      <c r="CH10" s="9"/>
      <c r="CI10" s="9"/>
      <c r="CM10" s="8" t="s">
        <v>1</v>
      </c>
      <c r="CN10" s="8" t="s">
        <v>2</v>
      </c>
      <c r="CO10" s="9">
        <v>45844</v>
      </c>
      <c r="CP10" s="9"/>
      <c r="CQ10" s="9"/>
      <c r="CR10" s="9"/>
      <c r="CV10" s="8" t="s">
        <v>1</v>
      </c>
      <c r="CW10" s="8" t="s">
        <v>2</v>
      </c>
      <c r="CX10" s="9">
        <v>45849</v>
      </c>
      <c r="CY10" s="9"/>
      <c r="CZ10" s="9"/>
      <c r="DA10" s="9"/>
      <c r="DE10" s="8" t="s">
        <v>1</v>
      </c>
      <c r="DF10" s="8" t="s">
        <v>2</v>
      </c>
      <c r="DG10" s="9">
        <v>45855</v>
      </c>
      <c r="DH10" s="9"/>
      <c r="DI10" s="9"/>
      <c r="DJ10" s="9"/>
      <c r="DN10" s="8" t="s">
        <v>1</v>
      </c>
      <c r="DO10" s="8" t="s">
        <v>2</v>
      </c>
      <c r="DP10" s="9">
        <v>45859</v>
      </c>
      <c r="DQ10" s="9"/>
      <c r="DR10" s="9"/>
      <c r="DS10" s="9"/>
    </row>
    <row r="11" spans="1:128" x14ac:dyDescent="0.25">
      <c r="A11" s="10"/>
      <c r="B11" s="10"/>
      <c r="C11" s="11"/>
      <c r="D11" s="11" t="s">
        <v>3</v>
      </c>
      <c r="E11" s="11" t="s">
        <v>4</v>
      </c>
      <c r="F11" s="11" t="s">
        <v>5</v>
      </c>
      <c r="G11" s="12" t="s">
        <v>6</v>
      </c>
      <c r="H11" s="13" t="s">
        <v>7</v>
      </c>
      <c r="J11" s="10"/>
      <c r="K11" s="10"/>
      <c r="L11" s="11"/>
      <c r="M11" s="11" t="s">
        <v>3</v>
      </c>
      <c r="N11" s="11" t="s">
        <v>4</v>
      </c>
      <c r="O11" s="11" t="s">
        <v>5</v>
      </c>
      <c r="P11" s="12" t="s">
        <v>6</v>
      </c>
      <c r="Q11" s="13" t="s">
        <v>7</v>
      </c>
      <c r="S11" s="10"/>
      <c r="T11" s="10"/>
      <c r="U11" s="11"/>
      <c r="V11" s="11" t="s">
        <v>3</v>
      </c>
      <c r="W11" s="11" t="s">
        <v>4</v>
      </c>
      <c r="X11" s="11" t="s">
        <v>5</v>
      </c>
      <c r="Y11" s="12" t="s">
        <v>6</v>
      </c>
      <c r="Z11" s="13" t="s">
        <v>7</v>
      </c>
      <c r="AB11" s="10"/>
      <c r="AC11" s="10"/>
      <c r="AD11" s="11"/>
      <c r="AE11" s="11" t="s">
        <v>3</v>
      </c>
      <c r="AF11" s="11" t="s">
        <v>4</v>
      </c>
      <c r="AG11" s="11" t="s">
        <v>5</v>
      </c>
      <c r="AH11" s="12" t="s">
        <v>6</v>
      </c>
      <c r="AI11" s="13" t="s">
        <v>7</v>
      </c>
      <c r="AK11" s="10"/>
      <c r="AL11" s="10"/>
      <c r="AM11" s="11"/>
      <c r="AN11" s="11" t="s">
        <v>3</v>
      </c>
      <c r="AO11" s="11" t="s">
        <v>4</v>
      </c>
      <c r="AP11" s="11" t="s">
        <v>5</v>
      </c>
      <c r="AQ11" s="12" t="s">
        <v>6</v>
      </c>
      <c r="AR11" s="13" t="s">
        <v>7</v>
      </c>
      <c r="AT11" s="10"/>
      <c r="AU11" s="10"/>
      <c r="AV11" s="11"/>
      <c r="AW11" s="11" t="s">
        <v>3</v>
      </c>
      <c r="AX11" s="11" t="s">
        <v>4</v>
      </c>
      <c r="AY11" s="11" t="s">
        <v>5</v>
      </c>
      <c r="AZ11" s="12" t="s">
        <v>6</v>
      </c>
      <c r="BA11" s="13" t="s">
        <v>7</v>
      </c>
      <c r="BC11" s="10"/>
      <c r="BD11" s="10"/>
      <c r="BE11" s="11"/>
      <c r="BF11" s="11" t="s">
        <v>3</v>
      </c>
      <c r="BG11" s="11" t="s">
        <v>4</v>
      </c>
      <c r="BH11" s="11" t="s">
        <v>5</v>
      </c>
      <c r="BI11" s="12" t="s">
        <v>6</v>
      </c>
      <c r="BJ11" s="13" t="s">
        <v>7</v>
      </c>
      <c r="BL11" s="10"/>
      <c r="BM11" s="10"/>
      <c r="BN11" s="11"/>
      <c r="BO11" s="11" t="s">
        <v>3</v>
      </c>
      <c r="BP11" s="11" t="s">
        <v>4</v>
      </c>
      <c r="BQ11" s="11" t="s">
        <v>5</v>
      </c>
      <c r="BR11" s="12" t="s">
        <v>6</v>
      </c>
      <c r="BS11" s="13"/>
      <c r="BU11" s="10"/>
      <c r="BV11" s="10"/>
      <c r="BW11" s="11"/>
      <c r="BX11" s="11" t="s">
        <v>3</v>
      </c>
      <c r="BY11" s="11" t="s">
        <v>4</v>
      </c>
      <c r="BZ11" s="11" t="s">
        <v>5</v>
      </c>
      <c r="CA11" s="12" t="s">
        <v>6</v>
      </c>
      <c r="CB11" s="13"/>
      <c r="CD11" s="10"/>
      <c r="CE11" s="10"/>
      <c r="CF11" s="11"/>
      <c r="CG11" s="11" t="s">
        <v>3</v>
      </c>
      <c r="CH11" s="11" t="s">
        <v>4</v>
      </c>
      <c r="CI11" s="11" t="s">
        <v>5</v>
      </c>
      <c r="CJ11" s="12" t="s">
        <v>6</v>
      </c>
      <c r="CK11" s="13"/>
      <c r="CM11" s="10"/>
      <c r="CN11" s="10"/>
      <c r="CO11" s="11"/>
      <c r="CP11" s="11" t="s">
        <v>3</v>
      </c>
      <c r="CQ11" s="11" t="s">
        <v>4</v>
      </c>
      <c r="CR11" s="11" t="s">
        <v>5</v>
      </c>
      <c r="CS11" s="12" t="s">
        <v>6</v>
      </c>
      <c r="CT11" s="13"/>
      <c r="CV11" s="10"/>
      <c r="CW11" s="10"/>
      <c r="CX11" s="11"/>
      <c r="CY11" s="11" t="s">
        <v>3</v>
      </c>
      <c r="CZ11" s="11" t="s">
        <v>4</v>
      </c>
      <c r="DA11" s="11" t="s">
        <v>5</v>
      </c>
      <c r="DB11" s="12" t="s">
        <v>6</v>
      </c>
      <c r="DC11" s="13"/>
      <c r="DE11" s="10"/>
      <c r="DF11" s="10"/>
      <c r="DG11" s="11"/>
      <c r="DH11" s="11" t="s">
        <v>3</v>
      </c>
      <c r="DI11" s="11" t="s">
        <v>4</v>
      </c>
      <c r="DJ11" s="11" t="s">
        <v>5</v>
      </c>
      <c r="DK11" s="12" t="s">
        <v>6</v>
      </c>
      <c r="DL11" s="13"/>
      <c r="DN11" s="10"/>
      <c r="DO11" s="10"/>
      <c r="DP11" s="11"/>
      <c r="DQ11" s="11" t="s">
        <v>3</v>
      </c>
      <c r="DR11" s="11" t="s">
        <v>4</v>
      </c>
      <c r="DS11" s="11" t="s">
        <v>5</v>
      </c>
      <c r="DT11" s="12" t="s">
        <v>6</v>
      </c>
      <c r="DU11" s="13"/>
    </row>
    <row r="12" spans="1:128" x14ac:dyDescent="0.25">
      <c r="A12" s="10">
        <v>1</v>
      </c>
      <c r="B12" s="10">
        <v>1</v>
      </c>
      <c r="C12" s="14"/>
      <c r="D12" s="15">
        <v>7</v>
      </c>
      <c r="E12" s="15">
        <v>5</v>
      </c>
      <c r="F12" s="15">
        <v>2</v>
      </c>
      <c r="G12" s="16">
        <f>D12*E12*F12*0.52</f>
        <v>36.4</v>
      </c>
      <c r="H12" s="17"/>
      <c r="J12" s="10">
        <v>1</v>
      </c>
      <c r="K12" s="10">
        <v>1</v>
      </c>
      <c r="L12" s="14"/>
      <c r="M12" s="15">
        <v>7.8</v>
      </c>
      <c r="N12" s="15">
        <v>6.1</v>
      </c>
      <c r="O12" s="15">
        <v>3.2</v>
      </c>
      <c r="P12" s="16">
        <f>M12*N12*O12*0.52</f>
        <v>79.173119999999997</v>
      </c>
      <c r="Q12" s="17"/>
      <c r="S12" s="10">
        <v>1</v>
      </c>
      <c r="T12" s="10">
        <v>1</v>
      </c>
      <c r="U12" s="14"/>
      <c r="V12" s="15">
        <v>9.5</v>
      </c>
      <c r="W12" s="15">
        <v>6.9</v>
      </c>
      <c r="X12" s="15">
        <v>4.3</v>
      </c>
      <c r="Y12" s="16">
        <f>V12*W12*X12*0.52</f>
        <v>146.56979999999999</v>
      </c>
      <c r="Z12" s="17"/>
      <c r="AB12" s="10">
        <v>1</v>
      </c>
      <c r="AC12" s="10">
        <v>1</v>
      </c>
      <c r="AD12" s="14"/>
      <c r="AE12" s="15">
        <v>15.8</v>
      </c>
      <c r="AF12" s="15">
        <v>10</v>
      </c>
      <c r="AG12" s="15">
        <v>6.5</v>
      </c>
      <c r="AH12" s="16">
        <f>AE12*AF12*AG12*0.52</f>
        <v>534.04</v>
      </c>
      <c r="AI12" s="17"/>
      <c r="AK12" s="10">
        <v>1</v>
      </c>
      <c r="AL12" s="10">
        <v>1</v>
      </c>
      <c r="AM12" s="14"/>
      <c r="AN12" s="15">
        <v>18.2</v>
      </c>
      <c r="AO12" s="15">
        <v>11.8</v>
      </c>
      <c r="AP12" s="15">
        <v>7.7</v>
      </c>
      <c r="AQ12" s="16">
        <f>AN12*AO12*AP12*0.52</f>
        <v>859.89904000000001</v>
      </c>
      <c r="AR12" s="17"/>
      <c r="AT12" s="10">
        <v>1</v>
      </c>
      <c r="AU12" s="10">
        <v>1</v>
      </c>
      <c r="AV12" s="14"/>
      <c r="AW12" s="15">
        <v>19</v>
      </c>
      <c r="AX12" s="15">
        <v>14.5</v>
      </c>
      <c r="AY12" s="15">
        <v>9.5</v>
      </c>
      <c r="AZ12" s="16">
        <f>AW12*AX12*AY12*0.52</f>
        <v>1360.97</v>
      </c>
      <c r="BA12" s="17"/>
      <c r="BC12" s="10">
        <v>1</v>
      </c>
      <c r="BD12" s="10">
        <v>1</v>
      </c>
      <c r="BE12" s="14"/>
      <c r="BF12" s="15">
        <v>19</v>
      </c>
      <c r="BG12" s="15">
        <v>14</v>
      </c>
      <c r="BH12" s="15">
        <v>9.5</v>
      </c>
      <c r="BI12" s="16">
        <f>BF12*BG12*BH12*0.52</f>
        <v>1314.04</v>
      </c>
      <c r="BJ12" s="17"/>
      <c r="BL12" s="10">
        <v>1</v>
      </c>
      <c r="BM12" s="10">
        <v>1</v>
      </c>
      <c r="BN12" s="14"/>
      <c r="BO12" s="15">
        <v>23.9</v>
      </c>
      <c r="BP12" s="15">
        <v>17</v>
      </c>
      <c r="BQ12" s="15">
        <v>12</v>
      </c>
      <c r="BR12" s="76">
        <f>BO12*BP12*BQ12*0.52</f>
        <v>2535.3119999999999</v>
      </c>
      <c r="BS12" s="17" t="s">
        <v>72</v>
      </c>
      <c r="BU12" s="10">
        <v>1</v>
      </c>
      <c r="BV12" s="10">
        <v>1</v>
      </c>
      <c r="BW12" s="14"/>
      <c r="BX12" s="77"/>
      <c r="BY12" s="77"/>
      <c r="BZ12" s="77"/>
      <c r="CA12" s="76"/>
      <c r="CB12" s="17" t="s">
        <v>72</v>
      </c>
      <c r="CD12" s="10">
        <v>1</v>
      </c>
      <c r="CE12" s="10">
        <v>1</v>
      </c>
      <c r="CF12" s="14"/>
      <c r="CG12" s="77"/>
      <c r="CH12" s="77"/>
      <c r="CI12" s="77"/>
      <c r="CJ12" s="76"/>
      <c r="CK12" s="17" t="s">
        <v>72</v>
      </c>
      <c r="CM12" s="10">
        <v>1</v>
      </c>
      <c r="CN12" s="10">
        <v>1</v>
      </c>
      <c r="CO12" s="14"/>
      <c r="CP12" s="77"/>
      <c r="CQ12" s="77"/>
      <c r="CR12" s="77"/>
      <c r="CS12" s="76"/>
      <c r="CT12" s="17" t="s">
        <v>72</v>
      </c>
      <c r="CV12" s="10">
        <v>1</v>
      </c>
      <c r="CW12" s="10">
        <v>1</v>
      </c>
      <c r="CX12" s="14"/>
      <c r="CY12" s="77"/>
      <c r="CZ12" s="77"/>
      <c r="DA12" s="77"/>
      <c r="DB12" s="76"/>
      <c r="DC12" s="17" t="s">
        <v>72</v>
      </c>
      <c r="DE12" s="10">
        <v>1</v>
      </c>
      <c r="DF12" s="10">
        <v>1</v>
      </c>
      <c r="DG12" s="14"/>
      <c r="DH12" s="77"/>
      <c r="DI12" s="77"/>
      <c r="DJ12" s="77"/>
      <c r="DK12" s="76"/>
      <c r="DL12" s="17" t="s">
        <v>72</v>
      </c>
      <c r="DN12" s="10">
        <v>1</v>
      </c>
      <c r="DO12" s="10">
        <v>1</v>
      </c>
      <c r="DP12" s="14"/>
      <c r="DQ12" s="77"/>
      <c r="DR12" s="77"/>
      <c r="DS12" s="77"/>
      <c r="DT12" s="76"/>
      <c r="DU12" s="17" t="s">
        <v>72</v>
      </c>
      <c r="DX12">
        <v>25</v>
      </c>
    </row>
    <row r="13" spans="1:128" x14ac:dyDescent="0.25">
      <c r="A13" s="10">
        <v>2</v>
      </c>
      <c r="B13" s="10">
        <v>2</v>
      </c>
      <c r="C13" s="14"/>
      <c r="D13" s="15">
        <v>5</v>
      </c>
      <c r="E13" s="15">
        <v>5</v>
      </c>
      <c r="F13" s="15">
        <v>2</v>
      </c>
      <c r="G13" s="16">
        <f t="shared" ref="G13:G20" si="0">D13*E13*F13*0.52</f>
        <v>26</v>
      </c>
      <c r="H13" s="17"/>
      <c r="J13" s="10">
        <v>2</v>
      </c>
      <c r="K13" s="10">
        <v>2</v>
      </c>
      <c r="L13" s="14"/>
      <c r="M13" s="15">
        <v>7</v>
      </c>
      <c r="N13" s="15">
        <v>6.4</v>
      </c>
      <c r="O13" s="15">
        <v>3.3</v>
      </c>
      <c r="P13" s="16">
        <f t="shared" ref="P13:P20" si="1">M13*N13*O13*0.52</f>
        <v>76.876800000000003</v>
      </c>
      <c r="Q13" s="17"/>
      <c r="S13" s="10">
        <v>2</v>
      </c>
      <c r="T13" s="10">
        <v>2</v>
      </c>
      <c r="U13" s="14"/>
      <c r="V13" s="15">
        <v>9.1999999999999993</v>
      </c>
      <c r="W13" s="15">
        <v>7.2</v>
      </c>
      <c r="X13" s="15">
        <v>4.7</v>
      </c>
      <c r="Y13" s="16">
        <f t="shared" ref="Y13:Y20" si="2">V13*W13*X13*0.52</f>
        <v>161.89055999999999</v>
      </c>
      <c r="Z13" s="17"/>
      <c r="AB13" s="10">
        <v>2</v>
      </c>
      <c r="AC13" s="10">
        <v>2</v>
      </c>
      <c r="AD13" s="14"/>
      <c r="AE13" s="15">
        <v>8.5</v>
      </c>
      <c r="AF13" s="15">
        <v>7.8</v>
      </c>
      <c r="AG13" s="15">
        <v>4.5</v>
      </c>
      <c r="AH13" s="16">
        <f t="shared" ref="AH13:AH20" si="3">AE13*AF13*AG13*0.52</f>
        <v>155.142</v>
      </c>
      <c r="AI13" s="17"/>
      <c r="AK13" s="10">
        <v>2</v>
      </c>
      <c r="AL13" s="10">
        <v>2</v>
      </c>
      <c r="AM13" s="14"/>
      <c r="AN13" s="15">
        <v>13</v>
      </c>
      <c r="AO13" s="15">
        <v>8.3000000000000007</v>
      </c>
      <c r="AP13" s="15">
        <v>5</v>
      </c>
      <c r="AQ13" s="16">
        <f t="shared" ref="AQ13:AQ20" si="4">AN13*AO13*AP13*0.52</f>
        <v>280.54000000000002</v>
      </c>
      <c r="AR13" s="17"/>
      <c r="AT13" s="10">
        <v>2</v>
      </c>
      <c r="AU13" s="10">
        <v>2</v>
      </c>
      <c r="AV13" s="14"/>
      <c r="AW13" s="15">
        <v>12.6</v>
      </c>
      <c r="AX13" s="15">
        <v>8</v>
      </c>
      <c r="AY13" s="15">
        <v>5.0999999999999996</v>
      </c>
      <c r="AZ13" s="16">
        <f t="shared" ref="AZ13:AZ20" si="5">AW13*AX13*AY13*0.52</f>
        <v>267.32159999999999</v>
      </c>
      <c r="BA13" s="17"/>
      <c r="BC13" s="10">
        <v>2</v>
      </c>
      <c r="BD13" s="10">
        <v>2</v>
      </c>
      <c r="BE13" s="14"/>
      <c r="BF13" s="15">
        <v>11.5</v>
      </c>
      <c r="BG13" s="15">
        <v>9</v>
      </c>
      <c r="BH13" s="15">
        <v>6.5</v>
      </c>
      <c r="BI13" s="16">
        <f t="shared" ref="BI13:BI20" si="6">BF13*BG13*BH13*0.52</f>
        <v>349.83</v>
      </c>
      <c r="BJ13" s="17"/>
      <c r="BL13" s="10">
        <v>2</v>
      </c>
      <c r="BM13" s="10">
        <v>2</v>
      </c>
      <c r="BN13" s="14"/>
      <c r="BO13" s="15">
        <v>16</v>
      </c>
      <c r="BP13" s="15">
        <v>12.4</v>
      </c>
      <c r="BQ13" s="15">
        <v>8.9</v>
      </c>
      <c r="BR13" s="16">
        <f t="shared" ref="BR13:BR19" si="7">BO13*BP13*BQ13*0.52</f>
        <v>918.19520000000011</v>
      </c>
      <c r="BS13" s="17"/>
      <c r="BU13" s="10">
        <v>2</v>
      </c>
      <c r="BV13" s="10">
        <v>2</v>
      </c>
      <c r="BW13" s="14"/>
      <c r="BX13" s="15">
        <v>16.2</v>
      </c>
      <c r="BY13" s="15">
        <v>12.9</v>
      </c>
      <c r="BZ13" s="15">
        <v>9.5</v>
      </c>
      <c r="CA13" s="16">
        <f t="shared" ref="CA13:CA16" si="8">BX13*BY13*BZ13*0.52</f>
        <v>1032.3612000000001</v>
      </c>
      <c r="CB13" s="17"/>
      <c r="CD13" s="10">
        <v>2</v>
      </c>
      <c r="CE13" s="10">
        <v>2</v>
      </c>
      <c r="CF13" s="14"/>
      <c r="CG13" s="15">
        <v>14.7</v>
      </c>
      <c r="CH13" s="15">
        <v>11.2</v>
      </c>
      <c r="CI13" s="15">
        <v>8</v>
      </c>
      <c r="CJ13" s="16">
        <f t="shared" ref="CJ13:CJ14" si="9">CG13*CH13*CI13*0.52</f>
        <v>684.90239999999994</v>
      </c>
      <c r="CK13" s="17"/>
      <c r="CM13" s="10">
        <v>2</v>
      </c>
      <c r="CN13" s="10">
        <v>2</v>
      </c>
      <c r="CO13" s="14"/>
      <c r="CP13" s="15">
        <v>19.3</v>
      </c>
      <c r="CQ13" s="15">
        <v>15.5</v>
      </c>
      <c r="CR13" s="15">
        <v>11.3</v>
      </c>
      <c r="CS13" s="16">
        <f t="shared" ref="CS13:CS14" si="10">CP13*CQ13*CR13*0.52</f>
        <v>1757.8054000000002</v>
      </c>
      <c r="CT13" s="17"/>
      <c r="CV13" s="10">
        <v>2</v>
      </c>
      <c r="CW13" s="10">
        <v>2</v>
      </c>
      <c r="CX13" s="14"/>
      <c r="CY13" s="15">
        <v>24.7</v>
      </c>
      <c r="CZ13" s="15">
        <v>18</v>
      </c>
      <c r="DA13" s="15">
        <v>14.4</v>
      </c>
      <c r="DB13" s="76">
        <f t="shared" ref="DB13:DB14" si="11">CY13*CZ13*DA13*0.52</f>
        <v>3329.1648</v>
      </c>
      <c r="DC13" s="17" t="s">
        <v>85</v>
      </c>
      <c r="DE13" s="10">
        <v>2</v>
      </c>
      <c r="DF13" s="10">
        <v>2</v>
      </c>
      <c r="DG13" s="14"/>
      <c r="DH13" s="77"/>
      <c r="DI13" s="77"/>
      <c r="DJ13" s="77"/>
      <c r="DK13" s="76"/>
      <c r="DL13" s="17" t="s">
        <v>85</v>
      </c>
      <c r="DN13" s="10">
        <v>2</v>
      </c>
      <c r="DO13" s="10">
        <v>2</v>
      </c>
      <c r="DP13" s="14"/>
      <c r="DQ13" s="77"/>
      <c r="DR13" s="77"/>
      <c r="DS13" s="77"/>
      <c r="DT13" s="76"/>
      <c r="DU13" s="17" t="s">
        <v>85</v>
      </c>
      <c r="DX13">
        <v>25</v>
      </c>
    </row>
    <row r="14" spans="1:128" x14ac:dyDescent="0.25">
      <c r="A14" s="10">
        <v>3</v>
      </c>
      <c r="B14" s="10">
        <v>3</v>
      </c>
      <c r="C14" s="14"/>
      <c r="D14" s="15">
        <v>4</v>
      </c>
      <c r="E14" s="15">
        <v>5</v>
      </c>
      <c r="F14" s="15">
        <v>2</v>
      </c>
      <c r="G14" s="16">
        <f t="shared" si="0"/>
        <v>20.8</v>
      </c>
      <c r="H14" s="17"/>
      <c r="J14" s="10">
        <v>3</v>
      </c>
      <c r="K14" s="10">
        <v>3</v>
      </c>
      <c r="L14" s="14"/>
      <c r="M14" s="15">
        <v>7.7</v>
      </c>
      <c r="N14" s="15">
        <v>5.8</v>
      </c>
      <c r="O14" s="15">
        <v>4</v>
      </c>
      <c r="P14" s="16">
        <f t="shared" si="1"/>
        <v>92.892799999999994</v>
      </c>
      <c r="Q14" s="17"/>
      <c r="S14" s="10">
        <v>3</v>
      </c>
      <c r="T14" s="10">
        <v>3</v>
      </c>
      <c r="U14" s="14"/>
      <c r="V14" s="15">
        <v>8.8000000000000007</v>
      </c>
      <c r="W14" s="15">
        <v>7.8</v>
      </c>
      <c r="X14" s="15">
        <v>4.5</v>
      </c>
      <c r="Y14" s="16">
        <f t="shared" si="2"/>
        <v>160.61760000000001</v>
      </c>
      <c r="Z14" s="17"/>
      <c r="AB14" s="10">
        <v>3</v>
      </c>
      <c r="AC14" s="10">
        <v>3</v>
      </c>
      <c r="AD14" s="14"/>
      <c r="AE14" s="15">
        <v>6</v>
      </c>
      <c r="AF14" s="15">
        <v>6.5</v>
      </c>
      <c r="AG14" s="15">
        <v>3.7</v>
      </c>
      <c r="AH14" s="16">
        <f t="shared" si="3"/>
        <v>75.036000000000016</v>
      </c>
      <c r="AI14" s="17"/>
      <c r="AK14" s="10">
        <v>3</v>
      </c>
      <c r="AL14" s="10">
        <v>3</v>
      </c>
      <c r="AM14" s="14"/>
      <c r="AN14" s="15">
        <v>10</v>
      </c>
      <c r="AO14" s="15">
        <v>7.2</v>
      </c>
      <c r="AP14" s="15">
        <v>4.8</v>
      </c>
      <c r="AQ14" s="16">
        <f t="shared" si="4"/>
        <v>179.71199999999999</v>
      </c>
      <c r="AR14" s="17"/>
      <c r="AT14" s="10">
        <v>3</v>
      </c>
      <c r="AU14" s="10">
        <v>3</v>
      </c>
      <c r="AV14" s="14"/>
      <c r="AW14" s="15">
        <v>9</v>
      </c>
      <c r="AX14" s="15">
        <v>10</v>
      </c>
      <c r="AY14" s="15">
        <v>6.3</v>
      </c>
      <c r="AZ14" s="16">
        <f t="shared" si="5"/>
        <v>294.84000000000003</v>
      </c>
      <c r="BA14" s="17"/>
      <c r="BC14" s="10">
        <v>3</v>
      </c>
      <c r="BD14" s="10">
        <v>3</v>
      </c>
      <c r="BE14" s="14"/>
      <c r="BF14" s="15">
        <v>7</v>
      </c>
      <c r="BG14" s="15">
        <v>7</v>
      </c>
      <c r="BH14" s="15">
        <v>4.5</v>
      </c>
      <c r="BI14" s="16">
        <f t="shared" si="6"/>
        <v>114.66000000000001</v>
      </c>
      <c r="BJ14" s="17"/>
      <c r="BL14" s="10">
        <v>3</v>
      </c>
      <c r="BM14" s="10">
        <v>3</v>
      </c>
      <c r="BN14" s="14"/>
      <c r="BO14" s="15">
        <v>10</v>
      </c>
      <c r="BP14" s="15">
        <v>10</v>
      </c>
      <c r="BQ14" s="15">
        <v>8</v>
      </c>
      <c r="BR14" s="16">
        <f t="shared" si="7"/>
        <v>416</v>
      </c>
      <c r="BS14" s="17"/>
      <c r="BU14" s="10">
        <v>3</v>
      </c>
      <c r="BV14" s="10">
        <v>3</v>
      </c>
      <c r="BW14" s="14"/>
      <c r="BX14" s="15">
        <v>12.6</v>
      </c>
      <c r="BY14" s="15">
        <v>11.8</v>
      </c>
      <c r="BZ14" s="15">
        <v>9</v>
      </c>
      <c r="CA14" s="16">
        <f t="shared" si="8"/>
        <v>695.82240000000013</v>
      </c>
      <c r="CB14" s="17"/>
      <c r="CD14" s="10">
        <v>3</v>
      </c>
      <c r="CE14" s="10">
        <v>3</v>
      </c>
      <c r="CF14" s="14"/>
      <c r="CG14" s="15">
        <v>12</v>
      </c>
      <c r="CH14" s="15">
        <v>11.8</v>
      </c>
      <c r="CI14" s="15">
        <v>8.6999999999999993</v>
      </c>
      <c r="CJ14" s="16">
        <f t="shared" si="9"/>
        <v>640.59840000000008</v>
      </c>
      <c r="CK14" s="17"/>
      <c r="CM14" s="10">
        <v>3</v>
      </c>
      <c r="CN14" s="10">
        <v>3</v>
      </c>
      <c r="CO14" s="14"/>
      <c r="CP14" s="15">
        <v>18.5</v>
      </c>
      <c r="CQ14" s="15">
        <v>17.5</v>
      </c>
      <c r="CR14" s="15">
        <v>10</v>
      </c>
      <c r="CS14" s="16">
        <f t="shared" si="10"/>
        <v>1683.5</v>
      </c>
      <c r="CT14" s="17"/>
      <c r="CV14" s="10">
        <v>3</v>
      </c>
      <c r="CW14" s="10">
        <v>3</v>
      </c>
      <c r="CX14" s="14"/>
      <c r="CY14" s="15">
        <v>24.9</v>
      </c>
      <c r="CZ14" s="15">
        <v>18.3</v>
      </c>
      <c r="DA14" s="15">
        <v>12.1</v>
      </c>
      <c r="DB14" s="76">
        <f t="shared" si="11"/>
        <v>2867.07564</v>
      </c>
      <c r="DC14" s="17" t="s">
        <v>85</v>
      </c>
      <c r="DE14" s="10">
        <v>3</v>
      </c>
      <c r="DF14" s="10">
        <v>3</v>
      </c>
      <c r="DG14" s="14"/>
      <c r="DH14" s="77"/>
      <c r="DI14" s="77"/>
      <c r="DJ14" s="77"/>
      <c r="DK14" s="76"/>
      <c r="DL14" s="17" t="s">
        <v>85</v>
      </c>
      <c r="DN14" s="10">
        <v>3</v>
      </c>
      <c r="DO14" s="10">
        <v>3</v>
      </c>
      <c r="DP14" s="14"/>
      <c r="DQ14" s="77"/>
      <c r="DR14" s="77"/>
      <c r="DS14" s="77"/>
      <c r="DT14" s="76"/>
      <c r="DU14" s="17" t="s">
        <v>85</v>
      </c>
      <c r="DX14">
        <v>29</v>
      </c>
    </row>
    <row r="15" spans="1:128" x14ac:dyDescent="0.25">
      <c r="A15" s="10">
        <v>4</v>
      </c>
      <c r="B15" s="10">
        <v>4</v>
      </c>
      <c r="C15" s="14"/>
      <c r="D15" s="15">
        <v>6</v>
      </c>
      <c r="E15" s="15">
        <v>5</v>
      </c>
      <c r="F15" s="15">
        <v>3</v>
      </c>
      <c r="G15" s="16">
        <f t="shared" si="0"/>
        <v>46.800000000000004</v>
      </c>
      <c r="H15" s="17"/>
      <c r="J15" s="10">
        <v>4</v>
      </c>
      <c r="K15" s="10">
        <v>4</v>
      </c>
      <c r="L15" s="14"/>
      <c r="M15" s="15">
        <v>7.8</v>
      </c>
      <c r="N15" s="15">
        <v>5.3</v>
      </c>
      <c r="O15" s="15">
        <v>3.7</v>
      </c>
      <c r="P15" s="16">
        <f t="shared" si="1"/>
        <v>79.538160000000005</v>
      </c>
      <c r="Q15" s="17"/>
      <c r="S15" s="10">
        <v>4</v>
      </c>
      <c r="T15" s="10">
        <v>4</v>
      </c>
      <c r="U15" s="14"/>
      <c r="V15" s="15">
        <v>10.7</v>
      </c>
      <c r="W15" s="15">
        <v>7.5</v>
      </c>
      <c r="X15" s="15">
        <v>3.6</v>
      </c>
      <c r="Y15" s="16">
        <f t="shared" si="2"/>
        <v>150.22800000000004</v>
      </c>
      <c r="Z15" s="17"/>
      <c r="AB15" s="10">
        <v>4</v>
      </c>
      <c r="AC15" s="10">
        <v>4</v>
      </c>
      <c r="AD15" s="14"/>
      <c r="AE15" s="15">
        <v>12</v>
      </c>
      <c r="AF15" s="15">
        <v>9</v>
      </c>
      <c r="AG15" s="15">
        <v>5.3</v>
      </c>
      <c r="AH15" s="16">
        <f t="shared" si="3"/>
        <v>297.64800000000002</v>
      </c>
      <c r="AI15" s="17"/>
      <c r="AK15" s="10">
        <v>4</v>
      </c>
      <c r="AL15" s="10">
        <v>4</v>
      </c>
      <c r="AM15" s="14"/>
      <c r="AN15" s="15">
        <v>15.2</v>
      </c>
      <c r="AO15" s="15">
        <v>9.3000000000000007</v>
      </c>
      <c r="AP15" s="15">
        <v>7.9</v>
      </c>
      <c r="AQ15" s="16">
        <f t="shared" si="4"/>
        <v>580.70688000000007</v>
      </c>
      <c r="AR15" s="17"/>
      <c r="AT15" s="10">
        <v>4</v>
      </c>
      <c r="AU15" s="10">
        <v>4</v>
      </c>
      <c r="AV15" s="14"/>
      <c r="AW15" s="15">
        <v>16.8</v>
      </c>
      <c r="AX15" s="15">
        <v>14.6</v>
      </c>
      <c r="AY15" s="15">
        <v>10.5</v>
      </c>
      <c r="AZ15" s="16">
        <f t="shared" si="5"/>
        <v>1339.2288000000001</v>
      </c>
      <c r="BA15" s="17"/>
      <c r="BC15" s="10">
        <v>4</v>
      </c>
      <c r="BD15" s="10">
        <v>4</v>
      </c>
      <c r="BE15" s="14"/>
      <c r="BF15" s="15">
        <v>18.399999999999999</v>
      </c>
      <c r="BG15" s="15">
        <v>14</v>
      </c>
      <c r="BH15" s="15">
        <v>10.5</v>
      </c>
      <c r="BI15" s="16">
        <f t="shared" si="6"/>
        <v>1406.4959999999999</v>
      </c>
      <c r="BJ15" s="17"/>
      <c r="BL15" s="10">
        <v>4</v>
      </c>
      <c r="BM15" s="10">
        <v>4</v>
      </c>
      <c r="BN15" s="14"/>
      <c r="BO15" s="15">
        <v>23</v>
      </c>
      <c r="BP15" s="15">
        <v>17.8</v>
      </c>
      <c r="BQ15" s="15">
        <v>13.4</v>
      </c>
      <c r="BR15" s="76">
        <f t="shared" si="7"/>
        <v>2852.6992000000005</v>
      </c>
      <c r="BS15" s="17" t="s">
        <v>72</v>
      </c>
      <c r="BU15" s="10">
        <v>4</v>
      </c>
      <c r="BV15" s="10">
        <v>4</v>
      </c>
      <c r="BW15" s="14"/>
      <c r="BX15" s="77"/>
      <c r="BY15" s="77"/>
      <c r="BZ15" s="77"/>
      <c r="CA15" s="76"/>
      <c r="CB15" s="17" t="s">
        <v>72</v>
      </c>
      <c r="CD15" s="10">
        <v>4</v>
      </c>
      <c r="CE15" s="10">
        <v>4</v>
      </c>
      <c r="CF15" s="14"/>
      <c r="CG15" s="77"/>
      <c r="CH15" s="77"/>
      <c r="CI15" s="77"/>
      <c r="CJ15" s="76"/>
      <c r="CK15" s="17" t="s">
        <v>72</v>
      </c>
      <c r="CM15" s="10">
        <v>4</v>
      </c>
      <c r="CN15" s="10">
        <v>4</v>
      </c>
      <c r="CO15" s="14"/>
      <c r="CP15" s="77"/>
      <c r="CQ15" s="77"/>
      <c r="CR15" s="77"/>
      <c r="CS15" s="76"/>
      <c r="CT15" s="17" t="s">
        <v>72</v>
      </c>
      <c r="CV15" s="10">
        <v>4</v>
      </c>
      <c r="CW15" s="10">
        <v>4</v>
      </c>
      <c r="CX15" s="14"/>
      <c r="CY15" s="77"/>
      <c r="CZ15" s="77"/>
      <c r="DA15" s="77"/>
      <c r="DB15" s="76"/>
      <c r="DC15" s="17" t="s">
        <v>72</v>
      </c>
      <c r="DE15" s="10">
        <v>4</v>
      </c>
      <c r="DF15" s="10">
        <v>4</v>
      </c>
      <c r="DG15" s="14"/>
      <c r="DH15" s="77"/>
      <c r="DI15" s="77"/>
      <c r="DJ15" s="77"/>
      <c r="DK15" s="76"/>
      <c r="DL15" s="17" t="s">
        <v>72</v>
      </c>
      <c r="DN15" s="10">
        <v>4</v>
      </c>
      <c r="DO15" s="10">
        <v>4</v>
      </c>
      <c r="DP15" s="14"/>
      <c r="DQ15" s="77"/>
      <c r="DR15" s="77"/>
      <c r="DS15" s="77"/>
      <c r="DT15" s="76"/>
      <c r="DU15" s="17" t="s">
        <v>72</v>
      </c>
      <c r="DX15">
        <v>29</v>
      </c>
    </row>
    <row r="16" spans="1:128" x14ac:dyDescent="0.25">
      <c r="A16" s="10">
        <v>5</v>
      </c>
      <c r="B16" s="10">
        <v>5</v>
      </c>
      <c r="C16" s="14"/>
      <c r="D16" s="18">
        <v>5</v>
      </c>
      <c r="E16" s="18">
        <v>4.5</v>
      </c>
      <c r="F16" s="18">
        <v>3</v>
      </c>
      <c r="G16" s="16">
        <f t="shared" si="0"/>
        <v>35.1</v>
      </c>
      <c r="H16" s="17"/>
      <c r="J16" s="10">
        <v>5</v>
      </c>
      <c r="K16" s="10">
        <v>5</v>
      </c>
      <c r="L16" s="14"/>
      <c r="M16" s="18">
        <v>7.4</v>
      </c>
      <c r="N16" s="18">
        <v>6.2</v>
      </c>
      <c r="O16" s="18">
        <v>4</v>
      </c>
      <c r="P16" s="16">
        <f t="shared" si="1"/>
        <v>95.430400000000006</v>
      </c>
      <c r="Q16" s="17"/>
      <c r="S16" s="10">
        <v>5</v>
      </c>
      <c r="T16" s="10">
        <v>5</v>
      </c>
      <c r="U16" s="14"/>
      <c r="V16" s="18">
        <v>7.7</v>
      </c>
      <c r="W16" s="18">
        <v>7.8</v>
      </c>
      <c r="X16" s="18">
        <v>4.3</v>
      </c>
      <c r="Y16" s="16">
        <f t="shared" si="2"/>
        <v>134.29416000000001</v>
      </c>
      <c r="Z16" s="17"/>
      <c r="AB16" s="10">
        <v>5</v>
      </c>
      <c r="AC16" s="10">
        <v>5</v>
      </c>
      <c r="AD16" s="14"/>
      <c r="AE16" s="18">
        <v>10</v>
      </c>
      <c r="AF16" s="18">
        <v>10</v>
      </c>
      <c r="AG16" s="18">
        <v>6</v>
      </c>
      <c r="AH16" s="16">
        <f t="shared" si="3"/>
        <v>312</v>
      </c>
      <c r="AI16" s="17"/>
      <c r="AK16" s="10">
        <v>5</v>
      </c>
      <c r="AL16" s="10">
        <v>5</v>
      </c>
      <c r="AM16" s="14"/>
      <c r="AN16" s="18">
        <v>11.2</v>
      </c>
      <c r="AO16" s="18">
        <v>9</v>
      </c>
      <c r="AP16" s="18">
        <v>6.6</v>
      </c>
      <c r="AQ16" s="16">
        <f t="shared" si="4"/>
        <v>345.94560000000001</v>
      </c>
      <c r="AR16" s="17"/>
      <c r="AT16" s="10">
        <v>5</v>
      </c>
      <c r="AU16" s="10">
        <v>5</v>
      </c>
      <c r="AV16" s="14"/>
      <c r="AW16" s="18">
        <v>10</v>
      </c>
      <c r="AX16" s="18">
        <v>10</v>
      </c>
      <c r="AY16" s="18">
        <v>7</v>
      </c>
      <c r="AZ16" s="16">
        <f t="shared" si="5"/>
        <v>364</v>
      </c>
      <c r="BA16" s="17"/>
      <c r="BC16" s="10">
        <v>5</v>
      </c>
      <c r="BD16" s="10">
        <v>5</v>
      </c>
      <c r="BE16" s="14"/>
      <c r="BF16" s="18">
        <v>14</v>
      </c>
      <c r="BG16" s="18">
        <v>12.6</v>
      </c>
      <c r="BH16" s="18">
        <v>10.3</v>
      </c>
      <c r="BI16" s="16">
        <f t="shared" si="6"/>
        <v>944.79840000000002</v>
      </c>
      <c r="BJ16" s="17"/>
      <c r="BL16" s="10">
        <v>5</v>
      </c>
      <c r="BM16" s="10">
        <v>5</v>
      </c>
      <c r="BN16" s="14"/>
      <c r="BO16" s="18">
        <v>15</v>
      </c>
      <c r="BP16" s="18">
        <v>11.7</v>
      </c>
      <c r="BQ16" s="18">
        <v>10.1</v>
      </c>
      <c r="BR16" s="16">
        <f t="shared" si="7"/>
        <v>921.726</v>
      </c>
      <c r="BS16" s="17"/>
      <c r="BU16" s="10">
        <v>5</v>
      </c>
      <c r="BV16" s="10">
        <v>5</v>
      </c>
      <c r="BW16" s="14"/>
      <c r="BX16" s="18">
        <v>18.7</v>
      </c>
      <c r="BY16" s="18">
        <v>17.2</v>
      </c>
      <c r="BZ16" s="18">
        <v>12.6</v>
      </c>
      <c r="CA16" s="76">
        <f t="shared" si="8"/>
        <v>2107.38528</v>
      </c>
      <c r="CB16" s="17" t="s">
        <v>74</v>
      </c>
      <c r="CD16" s="10">
        <v>5</v>
      </c>
      <c r="CE16" s="10">
        <v>5</v>
      </c>
      <c r="CF16" s="14"/>
      <c r="CG16" s="80"/>
      <c r="CH16" s="80"/>
      <c r="CI16" s="80"/>
      <c r="CJ16" s="76"/>
      <c r="CK16" s="17" t="s">
        <v>74</v>
      </c>
      <c r="CM16" s="10">
        <v>5</v>
      </c>
      <c r="CN16" s="10">
        <v>5</v>
      </c>
      <c r="CO16" s="14"/>
      <c r="CP16" s="80"/>
      <c r="CQ16" s="80"/>
      <c r="CR16" s="80"/>
      <c r="CS16" s="76"/>
      <c r="CT16" s="17" t="s">
        <v>74</v>
      </c>
      <c r="CV16" s="10">
        <v>5</v>
      </c>
      <c r="CW16" s="10">
        <v>5</v>
      </c>
      <c r="CX16" s="14"/>
      <c r="CY16" s="80"/>
      <c r="CZ16" s="80"/>
      <c r="DA16" s="80"/>
      <c r="DB16" s="76"/>
      <c r="DC16" s="17" t="s">
        <v>74</v>
      </c>
      <c r="DE16" s="10">
        <v>5</v>
      </c>
      <c r="DF16" s="10">
        <v>5</v>
      </c>
      <c r="DG16" s="14"/>
      <c r="DH16" s="80"/>
      <c r="DI16" s="80"/>
      <c r="DJ16" s="80"/>
      <c r="DK16" s="76"/>
      <c r="DL16" s="17" t="s">
        <v>74</v>
      </c>
      <c r="DN16" s="10">
        <v>5</v>
      </c>
      <c r="DO16" s="10">
        <v>5</v>
      </c>
      <c r="DP16" s="14"/>
      <c r="DQ16" s="80"/>
      <c r="DR16" s="80"/>
      <c r="DS16" s="80"/>
      <c r="DT16" s="76"/>
      <c r="DU16" s="17" t="s">
        <v>74</v>
      </c>
      <c r="DX16">
        <v>29</v>
      </c>
    </row>
    <row r="17" spans="1:128" x14ac:dyDescent="0.25">
      <c r="A17" s="10">
        <v>6</v>
      </c>
      <c r="B17" s="10">
        <v>6</v>
      </c>
      <c r="C17" s="14"/>
      <c r="D17" s="15">
        <v>3</v>
      </c>
      <c r="E17" s="15">
        <v>3</v>
      </c>
      <c r="F17" s="15">
        <v>3</v>
      </c>
      <c r="G17" s="16">
        <f t="shared" si="0"/>
        <v>14.040000000000001</v>
      </c>
      <c r="H17" s="17"/>
      <c r="J17" s="10">
        <v>6</v>
      </c>
      <c r="K17" s="10">
        <v>6</v>
      </c>
      <c r="L17" s="14"/>
      <c r="M17" s="15">
        <v>6.3</v>
      </c>
      <c r="N17" s="15">
        <v>5.6</v>
      </c>
      <c r="O17" s="15">
        <v>3</v>
      </c>
      <c r="P17" s="16">
        <f t="shared" si="1"/>
        <v>55.036799999999992</v>
      </c>
      <c r="Q17" s="17"/>
      <c r="S17" s="10">
        <v>6</v>
      </c>
      <c r="T17" s="10">
        <v>6</v>
      </c>
      <c r="U17" s="14"/>
      <c r="V17" s="15">
        <v>14</v>
      </c>
      <c r="W17" s="15">
        <v>9.6</v>
      </c>
      <c r="X17" s="15">
        <v>6.6</v>
      </c>
      <c r="Y17" s="16">
        <f t="shared" si="2"/>
        <v>461.26080000000002</v>
      </c>
      <c r="Z17" s="17"/>
      <c r="AB17" s="10">
        <v>6</v>
      </c>
      <c r="AC17" s="10">
        <v>6</v>
      </c>
      <c r="AD17" s="14"/>
      <c r="AE17" s="15">
        <v>10</v>
      </c>
      <c r="AF17" s="15">
        <v>10</v>
      </c>
      <c r="AG17" s="15">
        <v>6.8</v>
      </c>
      <c r="AH17" s="16">
        <f t="shared" si="3"/>
        <v>353.6</v>
      </c>
      <c r="AI17" s="17"/>
      <c r="AK17" s="10">
        <v>6</v>
      </c>
      <c r="AL17" s="10">
        <v>6</v>
      </c>
      <c r="AM17" s="14"/>
      <c r="AN17" s="15">
        <v>17</v>
      </c>
      <c r="AO17" s="15">
        <v>15</v>
      </c>
      <c r="AP17" s="15">
        <v>10</v>
      </c>
      <c r="AQ17" s="16">
        <f t="shared" si="4"/>
        <v>1326</v>
      </c>
      <c r="AR17" s="17"/>
      <c r="AT17" s="10">
        <v>6</v>
      </c>
      <c r="AU17" s="10">
        <v>6</v>
      </c>
      <c r="AV17" s="14"/>
      <c r="AW17" s="15">
        <v>22</v>
      </c>
      <c r="AX17" s="15">
        <v>14.5</v>
      </c>
      <c r="AY17" s="15">
        <v>8.1999999999999993</v>
      </c>
      <c r="AZ17" s="16">
        <f t="shared" si="5"/>
        <v>1360.2159999999999</v>
      </c>
      <c r="BA17" s="17"/>
      <c r="BC17" s="10">
        <v>6</v>
      </c>
      <c r="BD17" s="10">
        <v>6</v>
      </c>
      <c r="BE17" s="14"/>
      <c r="BF17" s="15">
        <v>31</v>
      </c>
      <c r="BG17" s="15">
        <v>19</v>
      </c>
      <c r="BH17" s="15">
        <v>12.7</v>
      </c>
      <c r="BI17" s="76">
        <f t="shared" si="6"/>
        <v>3889.7559999999999</v>
      </c>
      <c r="BJ17" s="17" t="s">
        <v>70</v>
      </c>
      <c r="BL17" s="10">
        <v>6</v>
      </c>
      <c r="BM17" s="10">
        <v>6</v>
      </c>
      <c r="BN17" s="14"/>
      <c r="BO17" s="77"/>
      <c r="BP17" s="77"/>
      <c r="BQ17" s="77"/>
      <c r="BR17" s="76"/>
      <c r="BS17" s="17" t="s">
        <v>70</v>
      </c>
      <c r="BU17" s="10">
        <v>6</v>
      </c>
      <c r="BV17" s="10">
        <v>6</v>
      </c>
      <c r="BW17" s="14"/>
      <c r="BX17" s="77"/>
      <c r="BY17" s="77"/>
      <c r="BZ17" s="77"/>
      <c r="CA17" s="76"/>
      <c r="CB17" s="17" t="s">
        <v>70</v>
      </c>
      <c r="CD17" s="10">
        <v>6</v>
      </c>
      <c r="CE17" s="10">
        <v>6</v>
      </c>
      <c r="CF17" s="14"/>
      <c r="CG17" s="77"/>
      <c r="CH17" s="77"/>
      <c r="CI17" s="77"/>
      <c r="CJ17" s="76"/>
      <c r="CK17" s="17" t="s">
        <v>70</v>
      </c>
      <c r="CM17" s="10">
        <v>6</v>
      </c>
      <c r="CN17" s="10">
        <v>6</v>
      </c>
      <c r="CO17" s="14"/>
      <c r="CP17" s="77"/>
      <c r="CQ17" s="77"/>
      <c r="CR17" s="77"/>
      <c r="CS17" s="76"/>
      <c r="CT17" s="17" t="s">
        <v>70</v>
      </c>
      <c r="CV17" s="10">
        <v>6</v>
      </c>
      <c r="CW17" s="10">
        <v>6</v>
      </c>
      <c r="CX17" s="14"/>
      <c r="CY17" s="77"/>
      <c r="CZ17" s="77"/>
      <c r="DA17" s="77"/>
      <c r="DB17" s="76"/>
      <c r="DC17" s="17" t="s">
        <v>70</v>
      </c>
      <c r="DE17" s="10">
        <v>6</v>
      </c>
      <c r="DF17" s="10">
        <v>6</v>
      </c>
      <c r="DG17" s="14"/>
      <c r="DH17" s="77"/>
      <c r="DI17" s="77"/>
      <c r="DJ17" s="77"/>
      <c r="DK17" s="76"/>
      <c r="DL17" s="17" t="s">
        <v>70</v>
      </c>
      <c r="DN17" s="10">
        <v>6</v>
      </c>
      <c r="DO17" s="10">
        <v>6</v>
      </c>
      <c r="DP17" s="14"/>
      <c r="DQ17" s="77"/>
      <c r="DR17" s="77"/>
      <c r="DS17" s="77"/>
      <c r="DT17" s="76"/>
      <c r="DU17" s="17" t="s">
        <v>70</v>
      </c>
      <c r="DX17">
        <v>33</v>
      </c>
    </row>
    <row r="18" spans="1:128" x14ac:dyDescent="0.25">
      <c r="A18" s="10">
        <v>7</v>
      </c>
      <c r="B18" s="19">
        <v>14</v>
      </c>
      <c r="C18" s="14"/>
      <c r="D18" s="15">
        <v>6</v>
      </c>
      <c r="E18" s="15">
        <v>4</v>
      </c>
      <c r="F18" s="15">
        <v>2.5</v>
      </c>
      <c r="G18" s="16">
        <f t="shared" si="0"/>
        <v>31.200000000000003</v>
      </c>
      <c r="H18" s="17"/>
      <c r="J18" s="10">
        <v>7</v>
      </c>
      <c r="K18" s="19">
        <v>14</v>
      </c>
      <c r="L18" s="14"/>
      <c r="M18" s="15">
        <v>7</v>
      </c>
      <c r="N18" s="15">
        <v>5.5</v>
      </c>
      <c r="O18" s="15">
        <v>3</v>
      </c>
      <c r="P18" s="16">
        <f t="shared" si="1"/>
        <v>60.06</v>
      </c>
      <c r="Q18" s="17"/>
      <c r="S18" s="10">
        <v>7</v>
      </c>
      <c r="T18" s="19">
        <v>14</v>
      </c>
      <c r="U18" s="14"/>
      <c r="V18" s="15">
        <v>10.5</v>
      </c>
      <c r="W18" s="15">
        <v>7.2</v>
      </c>
      <c r="X18" s="15">
        <v>5</v>
      </c>
      <c r="Y18" s="16">
        <f t="shared" si="2"/>
        <v>196.56000000000003</v>
      </c>
      <c r="Z18" s="17"/>
      <c r="AB18" s="10">
        <v>7</v>
      </c>
      <c r="AC18" s="19">
        <v>14</v>
      </c>
      <c r="AD18" s="14"/>
      <c r="AE18" s="15">
        <v>12.8</v>
      </c>
      <c r="AF18" s="15">
        <v>7.8</v>
      </c>
      <c r="AG18" s="15">
        <v>5.3</v>
      </c>
      <c r="AH18" s="16">
        <f t="shared" si="3"/>
        <v>275.15904</v>
      </c>
      <c r="AI18" s="17"/>
      <c r="AK18" s="10">
        <v>7</v>
      </c>
      <c r="AL18" s="19">
        <v>14</v>
      </c>
      <c r="AM18" s="14"/>
      <c r="AN18" s="15">
        <v>12.3</v>
      </c>
      <c r="AO18" s="15">
        <v>9.3000000000000007</v>
      </c>
      <c r="AP18" s="15">
        <v>5</v>
      </c>
      <c r="AQ18" s="16">
        <f t="shared" si="4"/>
        <v>297.41400000000004</v>
      </c>
      <c r="AR18" s="17"/>
      <c r="AT18" s="10">
        <v>7</v>
      </c>
      <c r="AU18" s="19">
        <v>14</v>
      </c>
      <c r="AV18" s="14"/>
      <c r="AW18" s="15">
        <v>14.2</v>
      </c>
      <c r="AX18" s="15">
        <v>10.3</v>
      </c>
      <c r="AY18" s="15">
        <v>5.2</v>
      </c>
      <c r="AZ18" s="16">
        <f t="shared" si="5"/>
        <v>395.48704000000004</v>
      </c>
      <c r="BA18" s="17"/>
      <c r="BC18" s="10">
        <v>7</v>
      </c>
      <c r="BD18" s="19">
        <v>14</v>
      </c>
      <c r="BE18" s="14"/>
      <c r="BF18" s="15">
        <v>17.5</v>
      </c>
      <c r="BG18" s="15">
        <v>13.1</v>
      </c>
      <c r="BH18" s="15">
        <v>9.1999999999999993</v>
      </c>
      <c r="BI18" s="16">
        <f t="shared" si="6"/>
        <v>1096.732</v>
      </c>
      <c r="BJ18" s="17"/>
      <c r="BL18" s="10">
        <v>7</v>
      </c>
      <c r="BM18" s="19">
        <v>14</v>
      </c>
      <c r="BN18" s="14"/>
      <c r="BO18" s="15">
        <v>20</v>
      </c>
      <c r="BP18" s="15">
        <v>14</v>
      </c>
      <c r="BQ18" s="15">
        <v>10</v>
      </c>
      <c r="BR18" s="16">
        <f t="shared" si="7"/>
        <v>1456</v>
      </c>
      <c r="BS18" s="17"/>
      <c r="BU18" s="10">
        <v>7</v>
      </c>
      <c r="BV18" s="19">
        <v>14</v>
      </c>
      <c r="BW18" s="14"/>
      <c r="BX18" s="15">
        <v>24.5</v>
      </c>
      <c r="BY18" s="15">
        <v>18.600000000000001</v>
      </c>
      <c r="BZ18" s="15">
        <v>12</v>
      </c>
      <c r="CA18" s="76">
        <f t="shared" ref="CA18" si="12">BX18*BY18*BZ18*0.52</f>
        <v>2843.5680000000002</v>
      </c>
      <c r="CB18" s="17" t="s">
        <v>76</v>
      </c>
      <c r="CD18" s="10">
        <v>7</v>
      </c>
      <c r="CE18" s="19">
        <v>14</v>
      </c>
      <c r="CF18" s="14"/>
      <c r="CG18" s="77"/>
      <c r="CH18" s="77"/>
      <c r="CI18" s="77"/>
      <c r="CJ18" s="76"/>
      <c r="CK18" s="17" t="s">
        <v>76</v>
      </c>
      <c r="CM18" s="10">
        <v>7</v>
      </c>
      <c r="CN18" s="19">
        <v>14</v>
      </c>
      <c r="CO18" s="14"/>
      <c r="CP18" s="77"/>
      <c r="CQ18" s="77"/>
      <c r="CR18" s="77"/>
      <c r="CS18" s="76"/>
      <c r="CT18" s="17" t="s">
        <v>76</v>
      </c>
      <c r="CV18" s="10">
        <v>7</v>
      </c>
      <c r="CW18" s="19">
        <v>14</v>
      </c>
      <c r="CX18" s="14"/>
      <c r="CY18" s="77"/>
      <c r="CZ18" s="77"/>
      <c r="DA18" s="77"/>
      <c r="DB18" s="76"/>
      <c r="DC18" s="17" t="s">
        <v>76</v>
      </c>
      <c r="DE18" s="10">
        <v>7</v>
      </c>
      <c r="DF18" s="19">
        <v>14</v>
      </c>
      <c r="DG18" s="14"/>
      <c r="DH18" s="77"/>
      <c r="DI18" s="77"/>
      <c r="DJ18" s="77"/>
      <c r="DK18" s="76"/>
      <c r="DL18" s="17" t="s">
        <v>76</v>
      </c>
      <c r="DN18" s="10">
        <v>7</v>
      </c>
      <c r="DO18" s="19">
        <v>14</v>
      </c>
      <c r="DP18" s="14"/>
      <c r="DQ18" s="77"/>
      <c r="DR18" s="77"/>
      <c r="DS18" s="77"/>
      <c r="DT18" s="76"/>
      <c r="DU18" s="17" t="s">
        <v>76</v>
      </c>
      <c r="DX18">
        <v>33</v>
      </c>
    </row>
    <row r="19" spans="1:128" x14ac:dyDescent="0.25">
      <c r="A19" s="10">
        <v>8</v>
      </c>
      <c r="B19" s="19">
        <v>15</v>
      </c>
      <c r="C19" s="14"/>
      <c r="D19" s="15">
        <v>4</v>
      </c>
      <c r="E19" s="15">
        <v>3</v>
      </c>
      <c r="F19" s="15">
        <v>2</v>
      </c>
      <c r="G19" s="16">
        <f t="shared" si="0"/>
        <v>12.48</v>
      </c>
      <c r="H19" s="17"/>
      <c r="J19" s="10">
        <v>8</v>
      </c>
      <c r="K19" s="19">
        <v>15</v>
      </c>
      <c r="L19" s="14"/>
      <c r="M19" s="15">
        <v>8.6999999999999993</v>
      </c>
      <c r="N19" s="15">
        <v>5.4</v>
      </c>
      <c r="O19" s="15">
        <v>3</v>
      </c>
      <c r="P19" s="16">
        <f t="shared" si="1"/>
        <v>73.288799999999995</v>
      </c>
      <c r="Q19" s="17"/>
      <c r="S19" s="10">
        <v>8</v>
      </c>
      <c r="T19" s="19">
        <v>15</v>
      </c>
      <c r="U19" s="14"/>
      <c r="V19" s="15">
        <v>11</v>
      </c>
      <c r="W19" s="15">
        <v>6.3</v>
      </c>
      <c r="X19" s="15">
        <v>4.5999999999999996</v>
      </c>
      <c r="Y19" s="16">
        <f t="shared" si="2"/>
        <v>165.76559999999998</v>
      </c>
      <c r="Z19" s="17"/>
      <c r="AB19" s="10">
        <v>8</v>
      </c>
      <c r="AC19" s="19">
        <v>15</v>
      </c>
      <c r="AD19" s="14"/>
      <c r="AE19" s="15">
        <v>12.6</v>
      </c>
      <c r="AF19" s="15">
        <v>9.1</v>
      </c>
      <c r="AG19" s="15">
        <v>5</v>
      </c>
      <c r="AH19" s="16">
        <f t="shared" si="3"/>
        <v>298.11599999999999</v>
      </c>
      <c r="AI19" s="17"/>
      <c r="AK19" s="10">
        <v>8</v>
      </c>
      <c r="AL19" s="19">
        <v>15</v>
      </c>
      <c r="AM19" s="14"/>
      <c r="AN19" s="15">
        <v>15</v>
      </c>
      <c r="AO19" s="15">
        <v>10.9</v>
      </c>
      <c r="AP19" s="15">
        <v>8.1999999999999993</v>
      </c>
      <c r="AQ19" s="16">
        <f t="shared" si="4"/>
        <v>697.16399999999987</v>
      </c>
      <c r="AR19" s="17"/>
      <c r="AT19" s="10">
        <v>8</v>
      </c>
      <c r="AU19" s="19">
        <v>15</v>
      </c>
      <c r="AV19" s="14"/>
      <c r="AW19" s="15">
        <v>16.399999999999999</v>
      </c>
      <c r="AX19" s="15">
        <v>12.6</v>
      </c>
      <c r="AY19" s="15">
        <v>9</v>
      </c>
      <c r="AZ19" s="16">
        <f t="shared" si="5"/>
        <v>967.07519999999988</v>
      </c>
      <c r="BA19" s="17"/>
      <c r="BC19" s="10">
        <v>8</v>
      </c>
      <c r="BD19" s="19">
        <v>15</v>
      </c>
      <c r="BE19" s="14"/>
      <c r="BF19" s="15">
        <v>18.399999999999999</v>
      </c>
      <c r="BG19" s="15">
        <v>13.8</v>
      </c>
      <c r="BH19" s="15">
        <v>11</v>
      </c>
      <c r="BI19" s="16">
        <f t="shared" si="6"/>
        <v>1452.4223999999999</v>
      </c>
      <c r="BJ19" s="17"/>
      <c r="BL19" s="10">
        <v>8</v>
      </c>
      <c r="BM19" s="19">
        <v>15</v>
      </c>
      <c r="BN19" s="14"/>
      <c r="BO19" s="15">
        <v>24</v>
      </c>
      <c r="BP19" s="15">
        <v>19</v>
      </c>
      <c r="BQ19" s="15">
        <v>15</v>
      </c>
      <c r="BR19" s="76">
        <f t="shared" si="7"/>
        <v>3556.8</v>
      </c>
      <c r="BS19" s="17" t="s">
        <v>72</v>
      </c>
      <c r="BU19" s="10">
        <v>8</v>
      </c>
      <c r="BV19" s="19">
        <v>15</v>
      </c>
      <c r="BW19" s="14"/>
      <c r="BX19" s="77"/>
      <c r="BY19" s="77"/>
      <c r="BZ19" s="77"/>
      <c r="CA19" s="76"/>
      <c r="CB19" s="17" t="s">
        <v>72</v>
      </c>
      <c r="CD19" s="10">
        <v>8</v>
      </c>
      <c r="CE19" s="19">
        <v>15</v>
      </c>
      <c r="CF19" s="14"/>
      <c r="CG19" s="77"/>
      <c r="CH19" s="77"/>
      <c r="CI19" s="77"/>
      <c r="CJ19" s="76"/>
      <c r="CK19" s="17" t="s">
        <v>72</v>
      </c>
      <c r="CM19" s="10">
        <v>8</v>
      </c>
      <c r="CN19" s="19">
        <v>15</v>
      </c>
      <c r="CO19" s="14"/>
      <c r="CP19" s="77"/>
      <c r="CQ19" s="77"/>
      <c r="CR19" s="77"/>
      <c r="CS19" s="76"/>
      <c r="CT19" s="17" t="s">
        <v>72</v>
      </c>
      <c r="CV19" s="10">
        <v>8</v>
      </c>
      <c r="CW19" s="19">
        <v>15</v>
      </c>
      <c r="CX19" s="14"/>
      <c r="CY19" s="77"/>
      <c r="CZ19" s="77"/>
      <c r="DA19" s="77"/>
      <c r="DB19" s="76"/>
      <c r="DC19" s="17" t="s">
        <v>72</v>
      </c>
      <c r="DE19" s="10">
        <v>8</v>
      </c>
      <c r="DF19" s="19">
        <v>15</v>
      </c>
      <c r="DG19" s="14"/>
      <c r="DH19" s="77"/>
      <c r="DI19" s="77"/>
      <c r="DJ19" s="77"/>
      <c r="DK19" s="76"/>
      <c r="DL19" s="17" t="s">
        <v>72</v>
      </c>
      <c r="DN19" s="10">
        <v>8</v>
      </c>
      <c r="DO19" s="19">
        <v>15</v>
      </c>
      <c r="DP19" s="14"/>
      <c r="DQ19" s="77"/>
      <c r="DR19" s="77"/>
      <c r="DS19" s="77"/>
      <c r="DT19" s="76"/>
      <c r="DU19" s="17" t="s">
        <v>72</v>
      </c>
      <c r="DX19">
        <v>36</v>
      </c>
    </row>
    <row r="20" spans="1:128" x14ac:dyDescent="0.25">
      <c r="A20" s="10">
        <v>9</v>
      </c>
      <c r="B20" s="19" t="s">
        <v>8</v>
      </c>
      <c r="C20" s="14"/>
      <c r="D20" s="15">
        <v>5</v>
      </c>
      <c r="E20" s="15">
        <v>5</v>
      </c>
      <c r="F20" s="15">
        <v>3</v>
      </c>
      <c r="G20" s="16">
        <f t="shared" si="0"/>
        <v>39</v>
      </c>
      <c r="H20" s="17"/>
      <c r="J20" s="10">
        <v>9</v>
      </c>
      <c r="K20" s="19" t="s">
        <v>8</v>
      </c>
      <c r="L20" s="14"/>
      <c r="M20" s="15">
        <v>6.3</v>
      </c>
      <c r="N20" s="15">
        <v>5.5</v>
      </c>
      <c r="O20" s="15">
        <v>3</v>
      </c>
      <c r="P20" s="16">
        <f t="shared" si="1"/>
        <v>54.053999999999995</v>
      </c>
      <c r="Q20" s="17"/>
      <c r="S20" s="10">
        <v>9</v>
      </c>
      <c r="T20" s="19" t="s">
        <v>8</v>
      </c>
      <c r="U20" s="14"/>
      <c r="V20" s="15">
        <v>10.199999999999999</v>
      </c>
      <c r="W20" s="15">
        <v>7.6</v>
      </c>
      <c r="X20" s="15">
        <v>4.5</v>
      </c>
      <c r="Y20" s="16">
        <f t="shared" si="2"/>
        <v>181.39679999999998</v>
      </c>
      <c r="Z20" s="17"/>
      <c r="AB20" s="10">
        <v>9</v>
      </c>
      <c r="AC20" s="19" t="s">
        <v>8</v>
      </c>
      <c r="AD20" s="14"/>
      <c r="AE20" s="15">
        <v>13.6</v>
      </c>
      <c r="AF20" s="15">
        <v>7.8</v>
      </c>
      <c r="AG20" s="15">
        <v>5.6</v>
      </c>
      <c r="AH20" s="16">
        <f t="shared" si="3"/>
        <v>308.90496000000002</v>
      </c>
      <c r="AI20" s="17"/>
      <c r="AK20" s="10">
        <v>9</v>
      </c>
      <c r="AL20" s="19" t="s">
        <v>8</v>
      </c>
      <c r="AM20" s="14"/>
      <c r="AN20" s="15">
        <v>17.8</v>
      </c>
      <c r="AO20" s="15">
        <v>9</v>
      </c>
      <c r="AP20" s="15">
        <v>7.5</v>
      </c>
      <c r="AQ20" s="16">
        <f t="shared" si="4"/>
        <v>624.78000000000009</v>
      </c>
      <c r="AR20" s="17"/>
      <c r="AT20" s="10">
        <v>9</v>
      </c>
      <c r="AU20" s="19" t="s">
        <v>8</v>
      </c>
      <c r="AV20" s="14"/>
      <c r="AW20" s="15">
        <v>21</v>
      </c>
      <c r="AX20" s="15">
        <v>14.9</v>
      </c>
      <c r="AY20" s="15">
        <v>10.4</v>
      </c>
      <c r="AZ20" s="16">
        <f t="shared" si="5"/>
        <v>1692.1632000000002</v>
      </c>
      <c r="BA20" s="17"/>
      <c r="BC20" s="10">
        <v>9</v>
      </c>
      <c r="BD20" s="19" t="s">
        <v>8</v>
      </c>
      <c r="BE20" s="14"/>
      <c r="BF20" s="15">
        <v>25.7</v>
      </c>
      <c r="BG20" s="15">
        <v>17.100000000000001</v>
      </c>
      <c r="BH20" s="15">
        <v>11.8</v>
      </c>
      <c r="BI20" s="76">
        <f t="shared" si="6"/>
        <v>2696.5879200000004</v>
      </c>
      <c r="BJ20" s="17" t="s">
        <v>70</v>
      </c>
      <c r="BL20" s="10">
        <v>9</v>
      </c>
      <c r="BM20" s="19" t="s">
        <v>8</v>
      </c>
      <c r="BN20" s="14"/>
      <c r="BO20" s="77"/>
      <c r="BP20" s="77"/>
      <c r="BQ20" s="77"/>
      <c r="BR20" s="76"/>
      <c r="BS20" s="17" t="s">
        <v>70</v>
      </c>
      <c r="BU20" s="10">
        <v>9</v>
      </c>
      <c r="BV20" s="19" t="s">
        <v>8</v>
      </c>
      <c r="BW20" s="14"/>
      <c r="BX20" s="77"/>
      <c r="BY20" s="77"/>
      <c r="BZ20" s="77"/>
      <c r="CA20" s="76"/>
      <c r="CB20" s="17" t="s">
        <v>70</v>
      </c>
      <c r="CD20" s="10">
        <v>9</v>
      </c>
      <c r="CE20" s="19" t="s">
        <v>8</v>
      </c>
      <c r="CF20" s="14"/>
      <c r="CG20" s="77"/>
      <c r="CH20" s="77"/>
      <c r="CI20" s="77"/>
      <c r="CJ20" s="76"/>
      <c r="CK20" s="17" t="s">
        <v>70</v>
      </c>
      <c r="CM20" s="10">
        <v>9</v>
      </c>
      <c r="CN20" s="19" t="s">
        <v>8</v>
      </c>
      <c r="CO20" s="14"/>
      <c r="CP20" s="77"/>
      <c r="CQ20" s="77"/>
      <c r="CR20" s="77"/>
      <c r="CS20" s="76"/>
      <c r="CT20" s="17" t="s">
        <v>70</v>
      </c>
      <c r="CV20" s="10">
        <v>9</v>
      </c>
      <c r="CW20" s="19" t="s">
        <v>8</v>
      </c>
      <c r="CX20" s="14"/>
      <c r="CY20" s="77"/>
      <c r="CZ20" s="77"/>
      <c r="DA20" s="77"/>
      <c r="DB20" s="76"/>
      <c r="DC20" s="17" t="s">
        <v>70</v>
      </c>
      <c r="DE20" s="10">
        <v>9</v>
      </c>
      <c r="DF20" s="19" t="s">
        <v>8</v>
      </c>
      <c r="DG20" s="14"/>
      <c r="DH20" s="77"/>
      <c r="DI20" s="77"/>
      <c r="DJ20" s="77"/>
      <c r="DK20" s="76"/>
      <c r="DL20" s="17" t="s">
        <v>70</v>
      </c>
      <c r="DN20" s="10">
        <v>9</v>
      </c>
      <c r="DO20" s="19" t="s">
        <v>8</v>
      </c>
      <c r="DP20" s="14"/>
      <c r="DQ20" s="77"/>
      <c r="DR20" s="77"/>
      <c r="DS20" s="77"/>
      <c r="DT20" s="76"/>
      <c r="DU20" s="17" t="s">
        <v>70</v>
      </c>
      <c r="DX20">
        <v>46</v>
      </c>
    </row>
    <row r="21" spans="1:128" x14ac:dyDescent="0.25">
      <c r="A21" s="10">
        <v>10</v>
      </c>
      <c r="B21" s="19" t="s">
        <v>40</v>
      </c>
      <c r="C21" s="14"/>
      <c r="D21" s="15">
        <v>3</v>
      </c>
      <c r="E21" s="15">
        <v>3</v>
      </c>
      <c r="F21" s="15">
        <v>3</v>
      </c>
      <c r="G21" s="16">
        <f>D21*E21*F21*0.52</f>
        <v>14.040000000000001</v>
      </c>
      <c r="H21" s="17"/>
      <c r="J21" s="10">
        <v>10</v>
      </c>
      <c r="K21" s="19" t="s">
        <v>40</v>
      </c>
      <c r="L21" s="14"/>
      <c r="M21" s="15">
        <v>6.8</v>
      </c>
      <c r="N21" s="15">
        <v>4.8</v>
      </c>
      <c r="O21" s="15">
        <v>3.2</v>
      </c>
      <c r="P21" s="16">
        <f>M21*N21*O21*0.52</f>
        <v>54.312960000000004</v>
      </c>
      <c r="Q21" s="17"/>
      <c r="S21" s="10">
        <v>10</v>
      </c>
      <c r="T21" s="19" t="s">
        <v>40</v>
      </c>
      <c r="U21" s="14"/>
      <c r="V21" s="15">
        <v>7.9</v>
      </c>
      <c r="W21" s="15">
        <v>5.6</v>
      </c>
      <c r="X21" s="15">
        <v>3.9</v>
      </c>
      <c r="Y21" s="16">
        <f>V21*W21*X21*0.52</f>
        <v>89.718720000000005</v>
      </c>
      <c r="Z21" s="17"/>
      <c r="AB21" s="10">
        <v>10</v>
      </c>
      <c r="AC21" s="19" t="s">
        <v>40</v>
      </c>
      <c r="AD21" s="14"/>
      <c r="AE21" s="15">
        <v>12.3</v>
      </c>
      <c r="AF21" s="15">
        <v>7.3</v>
      </c>
      <c r="AG21" s="15">
        <v>4.5</v>
      </c>
      <c r="AH21" s="16">
        <f>AE21*AF21*AG21*0.52</f>
        <v>210.10860000000002</v>
      </c>
      <c r="AI21" s="17"/>
      <c r="AK21" s="10">
        <v>10</v>
      </c>
      <c r="AL21" s="19" t="s">
        <v>40</v>
      </c>
      <c r="AM21" s="14"/>
      <c r="AN21" s="15">
        <v>13.2</v>
      </c>
      <c r="AO21" s="15">
        <v>9.1</v>
      </c>
      <c r="AP21" s="15">
        <v>5</v>
      </c>
      <c r="AQ21" s="16">
        <f>AN21*AO21*AP21*0.52</f>
        <v>312.31199999999995</v>
      </c>
      <c r="AR21" s="17"/>
      <c r="AT21" s="10">
        <v>10</v>
      </c>
      <c r="AU21" s="19" t="s">
        <v>40</v>
      </c>
      <c r="AV21" s="14"/>
      <c r="AW21" s="15">
        <v>17</v>
      </c>
      <c r="AX21" s="15">
        <v>9.1999999999999993</v>
      </c>
      <c r="AY21" s="15">
        <v>6.3</v>
      </c>
      <c r="AZ21" s="16">
        <f>AW21*AX21*AY21*0.52</f>
        <v>512.36639999999989</v>
      </c>
      <c r="BA21" s="17"/>
      <c r="BC21" s="10">
        <v>10</v>
      </c>
      <c r="BD21" s="19" t="s">
        <v>40</v>
      </c>
      <c r="BE21" s="14"/>
      <c r="BF21" s="15">
        <v>17</v>
      </c>
      <c r="BG21" s="15">
        <v>12</v>
      </c>
      <c r="BH21" s="15">
        <v>8.6</v>
      </c>
      <c r="BI21" s="16">
        <f>BF21*BG21*BH21*0.52</f>
        <v>912.28800000000001</v>
      </c>
      <c r="BJ21" s="17"/>
      <c r="BL21" s="10">
        <v>10</v>
      </c>
      <c r="BM21" s="19" t="s">
        <v>40</v>
      </c>
      <c r="BN21" s="14"/>
      <c r="BO21" s="15">
        <v>18</v>
      </c>
      <c r="BP21" s="15">
        <v>12.5</v>
      </c>
      <c r="BQ21" s="15">
        <v>8.6</v>
      </c>
      <c r="BR21" s="16">
        <f>BO21*BP21*BQ21*0.52</f>
        <v>1006.2</v>
      </c>
      <c r="BS21" s="17"/>
      <c r="BU21" s="10">
        <v>10</v>
      </c>
      <c r="BV21" s="19" t="s">
        <v>40</v>
      </c>
      <c r="BW21" s="14"/>
      <c r="BX21" s="15">
        <v>17</v>
      </c>
      <c r="BY21" s="15">
        <v>13.6</v>
      </c>
      <c r="BZ21" s="15">
        <v>9.8000000000000007</v>
      </c>
      <c r="CA21" s="16">
        <f>BX21*BY21*BZ21*0.52</f>
        <v>1178.1952000000001</v>
      </c>
      <c r="CB21" s="17"/>
      <c r="CD21" s="10">
        <v>10</v>
      </c>
      <c r="CE21" s="19" t="s">
        <v>40</v>
      </c>
      <c r="CF21" s="14"/>
      <c r="CG21" s="15">
        <v>22</v>
      </c>
      <c r="CH21" s="15">
        <v>17.2</v>
      </c>
      <c r="CI21" s="15">
        <v>12.2</v>
      </c>
      <c r="CJ21" s="82">
        <f>CG21*CH21*CI21*0.52</f>
        <v>2400.5695999999998</v>
      </c>
      <c r="CK21" s="17" t="s">
        <v>78</v>
      </c>
      <c r="CM21" s="10">
        <v>10</v>
      </c>
      <c r="CN21" s="19" t="s">
        <v>40</v>
      </c>
      <c r="CO21" s="14"/>
      <c r="CP21" s="83"/>
      <c r="CQ21" s="83"/>
      <c r="CR21" s="83"/>
      <c r="CS21" s="82"/>
      <c r="CT21" s="17" t="s">
        <v>78</v>
      </c>
      <c r="CV21" s="10">
        <v>10</v>
      </c>
      <c r="CW21" s="19" t="s">
        <v>40</v>
      </c>
      <c r="CX21" s="14"/>
      <c r="CY21" s="83"/>
      <c r="CZ21" s="83"/>
      <c r="DA21" s="83"/>
      <c r="DB21" s="82"/>
      <c r="DC21" s="17" t="s">
        <v>78</v>
      </c>
      <c r="DE21" s="10">
        <v>10</v>
      </c>
      <c r="DF21" s="19" t="s">
        <v>40</v>
      </c>
      <c r="DG21" s="14"/>
      <c r="DH21" s="83"/>
      <c r="DI21" s="83"/>
      <c r="DJ21" s="83"/>
      <c r="DK21" s="82"/>
      <c r="DL21" s="17" t="s">
        <v>78</v>
      </c>
      <c r="DN21" s="10">
        <v>10</v>
      </c>
      <c r="DO21" s="19" t="s">
        <v>40</v>
      </c>
      <c r="DP21" s="14"/>
      <c r="DQ21" s="83"/>
      <c r="DR21" s="83"/>
      <c r="DS21" s="83"/>
      <c r="DT21" s="82"/>
      <c r="DU21" s="17" t="s">
        <v>78</v>
      </c>
      <c r="DX21">
        <v>46</v>
      </c>
    </row>
    <row r="22" spans="1:128" x14ac:dyDescent="0.25">
      <c r="A22" s="20" t="s">
        <v>9</v>
      </c>
      <c r="B22" s="20"/>
      <c r="C22" s="21"/>
      <c r="D22" s="22"/>
      <c r="E22" s="22"/>
      <c r="F22" s="22"/>
      <c r="G22" s="21">
        <f>AVERAGE(G12:G21)</f>
        <v>27.585999999999995</v>
      </c>
      <c r="H22" s="21"/>
      <c r="J22" s="20" t="s">
        <v>9</v>
      </c>
      <c r="K22" s="20"/>
      <c r="L22" s="21"/>
      <c r="M22" s="22"/>
      <c r="N22" s="22"/>
      <c r="O22" s="22"/>
      <c r="P22" s="21">
        <f>AVERAGE(P12:P21)</f>
        <v>72.066383999999999</v>
      </c>
      <c r="Q22" s="21"/>
      <c r="S22" s="20" t="s">
        <v>9</v>
      </c>
      <c r="T22" s="20"/>
      <c r="U22" s="21"/>
      <c r="V22" s="22"/>
      <c r="W22" s="22"/>
      <c r="X22" s="22"/>
      <c r="Y22" s="21">
        <f>AVERAGE(Y12:Y21)</f>
        <v>184.83020400000001</v>
      </c>
      <c r="Z22" s="21"/>
      <c r="AB22" s="20" t="s">
        <v>9</v>
      </c>
      <c r="AC22" s="20"/>
      <c r="AD22" s="21"/>
      <c r="AE22" s="22"/>
      <c r="AF22" s="22"/>
      <c r="AG22" s="22"/>
      <c r="AH22" s="21">
        <f>AVERAGE(AH12:AH21)</f>
        <v>281.97546</v>
      </c>
      <c r="AI22" s="21"/>
      <c r="AK22" s="20" t="s">
        <v>9</v>
      </c>
      <c r="AL22" s="20"/>
      <c r="AM22" s="21"/>
      <c r="AN22" s="22"/>
      <c r="AO22" s="22"/>
      <c r="AP22" s="22"/>
      <c r="AQ22" s="21">
        <f>AVERAGE(AQ12:AQ21)</f>
        <v>550.44735199999991</v>
      </c>
      <c r="AR22" s="21"/>
      <c r="AT22" s="20" t="s">
        <v>9</v>
      </c>
      <c r="AU22" s="20"/>
      <c r="AV22" s="21"/>
      <c r="AW22" s="22"/>
      <c r="AX22" s="22"/>
      <c r="AY22" s="22"/>
      <c r="AZ22" s="21">
        <f>AVERAGE(AZ12:AZ21)</f>
        <v>855.36682399999995</v>
      </c>
      <c r="BA22" s="21"/>
      <c r="BC22" s="20" t="s">
        <v>9</v>
      </c>
      <c r="BD22" s="20"/>
      <c r="BE22" s="21"/>
      <c r="BF22" s="22"/>
      <c r="BG22" s="22"/>
      <c r="BH22" s="22"/>
      <c r="BI22" s="21">
        <f>AVERAGE(BI12:BI21)</f>
        <v>1417.7610719999998</v>
      </c>
      <c r="BJ22" s="21"/>
      <c r="BL22" s="20" t="s">
        <v>9</v>
      </c>
      <c r="BM22" s="20"/>
      <c r="BN22" s="21"/>
      <c r="BO22" s="22"/>
      <c r="BP22" s="22"/>
      <c r="BQ22" s="22"/>
      <c r="BR22" s="21">
        <f>AVERAGE(BR12:BR21)</f>
        <v>1707.8665500000002</v>
      </c>
      <c r="BS22" s="21"/>
      <c r="BU22" s="20" t="s">
        <v>9</v>
      </c>
      <c r="BV22" s="20"/>
      <c r="BW22" s="21"/>
      <c r="BX22" s="22"/>
      <c r="BY22" s="22"/>
      <c r="BZ22" s="22"/>
      <c r="CA22" s="21">
        <f>AVERAGE(CA12:CA21)</f>
        <v>1571.466416</v>
      </c>
      <c r="CB22" s="21"/>
      <c r="CD22" s="20" t="s">
        <v>9</v>
      </c>
      <c r="CE22" s="20"/>
      <c r="CF22" s="21"/>
      <c r="CG22" s="22"/>
      <c r="CH22" s="22"/>
      <c r="CI22" s="22"/>
      <c r="CJ22" s="21">
        <f>AVERAGE(CJ12:CJ21)</f>
        <v>1242.0234666666665</v>
      </c>
      <c r="CK22" s="21"/>
      <c r="CM22" s="20" t="s">
        <v>9</v>
      </c>
      <c r="CN22" s="20"/>
      <c r="CO22" s="21"/>
      <c r="CP22" s="22"/>
      <c r="CQ22" s="22"/>
      <c r="CR22" s="22"/>
      <c r="CS22" s="21">
        <f>AVERAGE(CS12:CS21)</f>
        <v>1720.6527000000001</v>
      </c>
      <c r="CT22" s="21"/>
      <c r="CV22" s="20" t="s">
        <v>9</v>
      </c>
      <c r="CW22" s="20"/>
      <c r="CX22" s="21"/>
      <c r="CY22" s="22"/>
      <c r="CZ22" s="22"/>
      <c r="DA22" s="22"/>
      <c r="DB22" s="21">
        <f>AVERAGE(DB12:DB21)</f>
        <v>3098.1202199999998</v>
      </c>
      <c r="DC22" s="21"/>
      <c r="DE22" s="20" t="s">
        <v>9</v>
      </c>
      <c r="DF22" s="20"/>
      <c r="DG22" s="21"/>
      <c r="DH22" s="22"/>
      <c r="DI22" s="22"/>
      <c r="DJ22" s="22"/>
      <c r="DK22" s="21" t="e">
        <f>AVERAGE(DK12:DK21)</f>
        <v>#DIV/0!</v>
      </c>
      <c r="DL22" s="21"/>
      <c r="DN22" s="20" t="s">
        <v>9</v>
      </c>
      <c r="DO22" s="20"/>
      <c r="DP22" s="21"/>
      <c r="DQ22" s="22"/>
      <c r="DR22" s="22"/>
      <c r="DS22" s="22"/>
      <c r="DT22" s="21" t="e">
        <f>AVERAGE(DT12:DT21)</f>
        <v>#DIV/0!</v>
      </c>
      <c r="DU22" s="21"/>
    </row>
    <row r="23" spans="1:128" x14ac:dyDescent="0.25">
      <c r="A23" s="20" t="s">
        <v>10</v>
      </c>
      <c r="B23" s="20"/>
      <c r="C23" s="23"/>
      <c r="D23" s="22"/>
      <c r="E23" s="22"/>
      <c r="F23" s="22"/>
      <c r="G23" s="21">
        <f>AVEDEV(G12:G20)</f>
        <v>9.5654320987654344</v>
      </c>
      <c r="H23" s="21"/>
      <c r="J23" s="20" t="s">
        <v>10</v>
      </c>
      <c r="K23" s="20"/>
      <c r="L23" s="23"/>
      <c r="M23" s="22"/>
      <c r="N23" s="22"/>
      <c r="O23" s="22"/>
      <c r="P23" s="21">
        <f>AVEDEV(P12:P20)</f>
        <v>11.936965925925929</v>
      </c>
      <c r="Q23" s="21"/>
      <c r="S23" s="20" t="s">
        <v>10</v>
      </c>
      <c r="T23" s="20"/>
      <c r="U23" s="23"/>
      <c r="V23" s="22"/>
      <c r="W23" s="22"/>
      <c r="X23" s="22"/>
      <c r="Y23" s="21">
        <f>AVEDEV(Y12:Y20)</f>
        <v>59.338779259259269</v>
      </c>
      <c r="Z23" s="21"/>
      <c r="AB23" s="20" t="s">
        <v>10</v>
      </c>
      <c r="AC23" s="20"/>
      <c r="AD23" s="23"/>
      <c r="AE23" s="22"/>
      <c r="AF23" s="22"/>
      <c r="AG23" s="22"/>
      <c r="AH23" s="21">
        <f>AVEDEV(AH12:AH20)</f>
        <v>81.00999111111112</v>
      </c>
      <c r="AI23" s="21"/>
      <c r="AK23" s="20" t="s">
        <v>10</v>
      </c>
      <c r="AL23" s="20"/>
      <c r="AM23" s="23"/>
      <c r="AN23" s="22"/>
      <c r="AO23" s="22"/>
      <c r="AP23" s="22"/>
      <c r="AQ23" s="21">
        <f>AVEDEV(AQ12:AQ20)</f>
        <v>267.55905382716048</v>
      </c>
      <c r="AR23" s="21"/>
      <c r="AT23" s="20" t="s">
        <v>10</v>
      </c>
      <c r="AU23" s="20"/>
      <c r="AV23" s="23"/>
      <c r="AW23" s="22"/>
      <c r="AX23" s="22"/>
      <c r="AY23" s="22"/>
      <c r="AZ23" s="21">
        <f>AVEDEV(AZ12:AZ20)</f>
        <v>500.50295308641972</v>
      </c>
      <c r="BA23" s="21"/>
      <c r="BC23" s="20" t="s">
        <v>10</v>
      </c>
      <c r="BD23" s="20"/>
      <c r="BE23" s="23"/>
      <c r="BF23" s="22"/>
      <c r="BG23" s="22"/>
      <c r="BH23" s="22"/>
      <c r="BI23" s="21">
        <f>AVEDEV(BI12:BI20)</f>
        <v>808.55431703703709</v>
      </c>
      <c r="BJ23" s="21"/>
      <c r="BL23" s="20" t="s">
        <v>10</v>
      </c>
      <c r="BM23" s="20"/>
      <c r="BN23" s="23"/>
      <c r="BO23" s="22"/>
      <c r="BP23" s="22"/>
      <c r="BQ23" s="22"/>
      <c r="BR23" s="21">
        <f>AVEDEV(BR12:BR20)</f>
        <v>1005.8563755102043</v>
      </c>
      <c r="BS23" s="21"/>
      <c r="BU23" s="20" t="s">
        <v>10</v>
      </c>
      <c r="BV23" s="20"/>
      <c r="BW23" s="23"/>
      <c r="BX23" s="22"/>
      <c r="BY23" s="22"/>
      <c r="BZ23" s="22"/>
      <c r="CA23" s="21">
        <f>AVEDEV(CA12:CA20)</f>
        <v>805.69241999999997</v>
      </c>
      <c r="CB23" s="21"/>
      <c r="CD23" s="20" t="s">
        <v>10</v>
      </c>
      <c r="CE23" s="20"/>
      <c r="CF23" s="23"/>
      <c r="CG23" s="22"/>
      <c r="CH23" s="22"/>
      <c r="CI23" s="22"/>
      <c r="CJ23" s="21">
        <f>AVEDEV(CJ12:CJ20)</f>
        <v>22.15199999999993</v>
      </c>
      <c r="CK23" s="21"/>
      <c r="CM23" s="20" t="s">
        <v>10</v>
      </c>
      <c r="CN23" s="20"/>
      <c r="CO23" s="23"/>
      <c r="CP23" s="22"/>
      <c r="CQ23" s="22"/>
      <c r="CR23" s="22"/>
      <c r="CS23" s="21">
        <f>AVEDEV(CS12:CS20)</f>
        <v>37.152700000000095</v>
      </c>
      <c r="CT23" s="21"/>
      <c r="CV23" s="20" t="s">
        <v>10</v>
      </c>
      <c r="CW23" s="20"/>
      <c r="CX23" s="23"/>
      <c r="CY23" s="22"/>
      <c r="CZ23" s="22"/>
      <c r="DA23" s="22"/>
      <c r="DB23" s="21">
        <f>AVEDEV(DB12:DB20)</f>
        <v>231.04458</v>
      </c>
      <c r="DC23" s="21"/>
      <c r="DE23" s="20" t="s">
        <v>10</v>
      </c>
      <c r="DF23" s="20"/>
      <c r="DG23" s="23"/>
      <c r="DH23" s="22"/>
      <c r="DI23" s="22"/>
      <c r="DJ23" s="22"/>
      <c r="DK23" s="21" t="e">
        <f>AVEDEV(DK12:DK20)</f>
        <v>#NUM!</v>
      </c>
      <c r="DL23" s="21"/>
      <c r="DN23" s="20" t="s">
        <v>10</v>
      </c>
      <c r="DO23" s="20"/>
      <c r="DP23" s="23"/>
      <c r="DQ23" s="22"/>
      <c r="DR23" s="22"/>
      <c r="DS23" s="22"/>
      <c r="DT23" s="21" t="e">
        <f>AVEDEV(DT12:DT20)</f>
        <v>#NUM!</v>
      </c>
      <c r="DU23" s="21"/>
    </row>
    <row r="26" spans="1:128" x14ac:dyDescent="0.25">
      <c r="A26" s="24" t="s">
        <v>11</v>
      </c>
      <c r="B26" s="24"/>
      <c r="G26" s="5" t="s">
        <v>17</v>
      </c>
      <c r="J26" s="24" t="s">
        <v>11</v>
      </c>
      <c r="K26" s="24"/>
      <c r="P26" s="5" t="s">
        <v>18</v>
      </c>
      <c r="S26" s="24" t="s">
        <v>11</v>
      </c>
      <c r="T26" s="24"/>
      <c r="Y26" s="5" t="s">
        <v>51</v>
      </c>
      <c r="AB26" s="24" t="s">
        <v>11</v>
      </c>
      <c r="AC26" s="24"/>
      <c r="AK26" s="24" t="s">
        <v>11</v>
      </c>
      <c r="AL26" s="24"/>
      <c r="AQ26" s="5"/>
      <c r="AT26" s="24" t="s">
        <v>11</v>
      </c>
      <c r="AU26" s="24"/>
      <c r="AZ26" s="5"/>
      <c r="BC26" s="24" t="s">
        <v>11</v>
      </c>
      <c r="BD26" s="24"/>
      <c r="BL26" s="24" t="s">
        <v>11</v>
      </c>
      <c r="BM26" s="24"/>
      <c r="BU26" s="24" t="s">
        <v>11</v>
      </c>
      <c r="BV26" s="24"/>
      <c r="CA26" s="5"/>
      <c r="CD26" s="24" t="s">
        <v>11</v>
      </c>
      <c r="CE26" s="24"/>
      <c r="CJ26" s="5"/>
      <c r="CM26" s="24" t="s">
        <v>11</v>
      </c>
      <c r="CN26" s="24"/>
      <c r="CS26" s="5"/>
      <c r="CV26" s="24" t="s">
        <v>11</v>
      </c>
      <c r="CW26" s="24"/>
      <c r="DB26" s="5"/>
      <c r="DE26" s="24" t="s">
        <v>11</v>
      </c>
      <c r="DF26" s="24"/>
      <c r="DK26" s="5"/>
      <c r="DN26" s="24" t="s">
        <v>11</v>
      </c>
      <c r="DO26" s="24"/>
      <c r="DT26" s="5"/>
    </row>
    <row r="27" spans="1:128" x14ac:dyDescent="0.25">
      <c r="A27" s="25"/>
      <c r="B27" s="25"/>
      <c r="G27" s="7" t="s">
        <v>23</v>
      </c>
      <c r="J27" s="25"/>
      <c r="K27" s="25"/>
      <c r="P27" s="7" t="s">
        <v>43</v>
      </c>
      <c r="S27" s="25"/>
      <c r="T27" s="25"/>
      <c r="Y27" s="7" t="s">
        <v>50</v>
      </c>
      <c r="AB27" s="25"/>
      <c r="AC27" s="25"/>
      <c r="AH27" s="7" t="s">
        <v>58</v>
      </c>
      <c r="AK27" s="25"/>
      <c r="AL27" s="25"/>
      <c r="AQ27" s="7" t="s">
        <v>63</v>
      </c>
      <c r="AT27" s="25"/>
      <c r="AU27" s="25"/>
      <c r="AZ27" s="7" t="s">
        <v>66</v>
      </c>
      <c r="BC27" s="25"/>
      <c r="BD27" s="25"/>
      <c r="BI27" s="7" t="s">
        <v>69</v>
      </c>
      <c r="BL27" s="25"/>
      <c r="BM27" s="25"/>
      <c r="BR27" s="7" t="s">
        <v>71</v>
      </c>
      <c r="BU27" s="25"/>
      <c r="BV27" s="25"/>
      <c r="CA27" s="7" t="s">
        <v>75</v>
      </c>
      <c r="CD27" s="25"/>
      <c r="CE27" s="25"/>
      <c r="CJ27" s="7" t="s">
        <v>77</v>
      </c>
      <c r="CM27" s="25"/>
      <c r="CN27" s="25"/>
      <c r="CS27" s="7" t="s">
        <v>81</v>
      </c>
      <c r="CV27" s="25"/>
      <c r="CW27" s="25"/>
      <c r="DB27" s="7" t="s">
        <v>84</v>
      </c>
      <c r="DE27" s="25"/>
      <c r="DF27" s="25"/>
      <c r="DK27" s="7" t="s">
        <v>86</v>
      </c>
      <c r="DN27" s="25"/>
      <c r="DO27" s="25"/>
      <c r="DT27" s="7" t="s">
        <v>88</v>
      </c>
    </row>
    <row r="28" spans="1:128" x14ac:dyDescent="0.25">
      <c r="A28" s="65" t="s">
        <v>25</v>
      </c>
      <c r="B28" s="24"/>
      <c r="J28" s="65" t="s">
        <v>25</v>
      </c>
      <c r="K28" s="24"/>
      <c r="S28" s="65" t="s">
        <v>25</v>
      </c>
      <c r="T28" s="24"/>
      <c r="AB28" s="65" t="s">
        <v>25</v>
      </c>
      <c r="AC28" s="24"/>
      <c r="AK28" s="65" t="s">
        <v>25</v>
      </c>
      <c r="AL28" s="24"/>
      <c r="AT28" s="65" t="s">
        <v>25</v>
      </c>
      <c r="AU28" s="24"/>
      <c r="BC28" s="65" t="s">
        <v>25</v>
      </c>
      <c r="BD28" s="24"/>
      <c r="BL28" s="65" t="s">
        <v>25</v>
      </c>
      <c r="BM28" s="24"/>
      <c r="BU28" s="65" t="s">
        <v>25</v>
      </c>
      <c r="BV28" s="24"/>
      <c r="CD28" s="65" t="s">
        <v>25</v>
      </c>
      <c r="CE28" s="24"/>
      <c r="CM28" s="65" t="s">
        <v>25</v>
      </c>
      <c r="CN28" s="24"/>
      <c r="CV28" s="65" t="s">
        <v>25</v>
      </c>
      <c r="CW28" s="24"/>
      <c r="DE28" s="65" t="s">
        <v>25</v>
      </c>
      <c r="DF28" s="24"/>
      <c r="DN28" s="65" t="s">
        <v>25</v>
      </c>
      <c r="DO28" s="24"/>
    </row>
    <row r="29" spans="1:128" x14ac:dyDescent="0.25">
      <c r="A29" s="25"/>
      <c r="B29" s="25"/>
      <c r="C29" s="9">
        <v>45810</v>
      </c>
      <c r="J29" s="25"/>
      <c r="K29" s="25"/>
      <c r="L29" s="9">
        <v>45813</v>
      </c>
      <c r="S29" s="25"/>
      <c r="T29" s="25"/>
      <c r="U29" s="9">
        <v>45816</v>
      </c>
      <c r="AB29" s="25"/>
      <c r="AC29" s="25"/>
      <c r="AD29" s="9">
        <v>45819</v>
      </c>
      <c r="AE29" s="9"/>
      <c r="AF29" s="9"/>
      <c r="AG29" s="9"/>
      <c r="AK29" s="25"/>
      <c r="AL29" s="25"/>
      <c r="AM29" s="9">
        <v>45822</v>
      </c>
      <c r="AT29" s="25"/>
      <c r="AU29" s="25"/>
      <c r="AV29" s="9">
        <v>45825</v>
      </c>
      <c r="BC29" s="25"/>
      <c r="BD29" s="25"/>
      <c r="BE29" s="9">
        <v>45828</v>
      </c>
      <c r="BF29" s="9"/>
      <c r="BG29" s="9"/>
      <c r="BH29" s="9"/>
      <c r="BL29" s="25"/>
      <c r="BM29" s="25"/>
      <c r="BN29" s="9">
        <v>45832</v>
      </c>
      <c r="BO29" s="9"/>
      <c r="BP29" s="9"/>
      <c r="BQ29" s="9"/>
      <c r="BU29" s="25"/>
      <c r="BV29" s="25"/>
      <c r="BW29" s="9">
        <v>45836</v>
      </c>
      <c r="CD29" s="25"/>
      <c r="CE29" s="25"/>
      <c r="CF29" s="9">
        <v>45839</v>
      </c>
      <c r="CM29" s="25"/>
      <c r="CN29" s="25"/>
      <c r="CO29" s="9">
        <v>45844</v>
      </c>
      <c r="CV29" s="25"/>
      <c r="CW29" s="25"/>
      <c r="CX29" s="9">
        <v>45849</v>
      </c>
      <c r="DE29" s="25"/>
      <c r="DF29" s="25"/>
      <c r="DG29" s="9">
        <v>45855</v>
      </c>
      <c r="DN29" s="25"/>
      <c r="DO29" s="25"/>
      <c r="DP29" s="9">
        <v>45859</v>
      </c>
    </row>
    <row r="30" spans="1:128" x14ac:dyDescent="0.25">
      <c r="A30" s="26"/>
      <c r="B30" s="26"/>
      <c r="C30" s="11"/>
      <c r="D30" s="11" t="s">
        <v>3</v>
      </c>
      <c r="E30" s="11" t="s">
        <v>4</v>
      </c>
      <c r="F30" s="11" t="s">
        <v>5</v>
      </c>
      <c r="G30" s="27" t="s">
        <v>6</v>
      </c>
      <c r="H30" s="28" t="s">
        <v>7</v>
      </c>
      <c r="J30" s="26"/>
      <c r="K30" s="26"/>
      <c r="L30" s="11"/>
      <c r="M30" s="11" t="s">
        <v>3</v>
      </c>
      <c r="N30" s="11" t="s">
        <v>4</v>
      </c>
      <c r="O30" s="11" t="s">
        <v>5</v>
      </c>
      <c r="P30" s="27" t="s">
        <v>6</v>
      </c>
      <c r="Q30" s="28" t="s">
        <v>7</v>
      </c>
      <c r="S30" s="26"/>
      <c r="T30" s="26"/>
      <c r="U30" s="11"/>
      <c r="V30" s="11" t="s">
        <v>3</v>
      </c>
      <c r="W30" s="11" t="s">
        <v>4</v>
      </c>
      <c r="X30" s="11" t="s">
        <v>5</v>
      </c>
      <c r="Y30" s="27" t="s">
        <v>6</v>
      </c>
      <c r="Z30" s="28" t="s">
        <v>7</v>
      </c>
      <c r="AB30" s="26"/>
      <c r="AC30" s="26"/>
      <c r="AD30" s="11"/>
      <c r="AE30" s="11" t="s">
        <v>3</v>
      </c>
      <c r="AF30" s="11" t="s">
        <v>4</v>
      </c>
      <c r="AG30" s="11" t="s">
        <v>5</v>
      </c>
      <c r="AH30" s="27" t="s">
        <v>6</v>
      </c>
      <c r="AI30" s="28" t="s">
        <v>7</v>
      </c>
      <c r="AK30" s="26"/>
      <c r="AL30" s="26"/>
      <c r="AM30" s="11"/>
      <c r="AN30" s="11" t="s">
        <v>3</v>
      </c>
      <c r="AO30" s="11" t="s">
        <v>4</v>
      </c>
      <c r="AP30" s="11" t="s">
        <v>5</v>
      </c>
      <c r="AQ30" s="27" t="s">
        <v>6</v>
      </c>
      <c r="AR30" s="28" t="s">
        <v>7</v>
      </c>
      <c r="AT30" s="26"/>
      <c r="AU30" s="26"/>
      <c r="AV30" s="11"/>
      <c r="AW30" s="11" t="s">
        <v>3</v>
      </c>
      <c r="AX30" s="11" t="s">
        <v>4</v>
      </c>
      <c r="AY30" s="11" t="s">
        <v>5</v>
      </c>
      <c r="AZ30" s="27" t="s">
        <v>6</v>
      </c>
      <c r="BA30" s="28" t="s">
        <v>7</v>
      </c>
      <c r="BC30" s="26"/>
      <c r="BD30" s="26"/>
      <c r="BE30" s="11"/>
      <c r="BF30" s="11" t="s">
        <v>3</v>
      </c>
      <c r="BG30" s="11" t="s">
        <v>4</v>
      </c>
      <c r="BH30" s="11" t="s">
        <v>5</v>
      </c>
      <c r="BI30" s="27" t="s">
        <v>6</v>
      </c>
      <c r="BJ30" s="28" t="s">
        <v>7</v>
      </c>
      <c r="BL30" s="26"/>
      <c r="BM30" s="26"/>
      <c r="BN30" s="11"/>
      <c r="BO30" s="11" t="s">
        <v>3</v>
      </c>
      <c r="BP30" s="11" t="s">
        <v>4</v>
      </c>
      <c r="BQ30" s="11" t="s">
        <v>5</v>
      </c>
      <c r="BR30" s="27" t="s">
        <v>6</v>
      </c>
      <c r="BS30" s="28"/>
      <c r="BU30" s="26"/>
      <c r="BV30" s="26"/>
      <c r="BW30" s="11"/>
      <c r="BX30" s="11" t="s">
        <v>3</v>
      </c>
      <c r="BY30" s="11" t="s">
        <v>4</v>
      </c>
      <c r="BZ30" s="11" t="s">
        <v>5</v>
      </c>
      <c r="CA30" s="27" t="s">
        <v>6</v>
      </c>
      <c r="CB30" s="28"/>
      <c r="CD30" s="26"/>
      <c r="CE30" s="26"/>
      <c r="CF30" s="11"/>
      <c r="CG30" s="11" t="s">
        <v>3</v>
      </c>
      <c r="CH30" s="11" t="s">
        <v>4</v>
      </c>
      <c r="CI30" s="11" t="s">
        <v>5</v>
      </c>
      <c r="CJ30" s="27" t="s">
        <v>6</v>
      </c>
      <c r="CK30" s="28"/>
      <c r="CM30" s="26"/>
      <c r="CN30" s="26"/>
      <c r="CO30" s="11"/>
      <c r="CP30" s="11" t="s">
        <v>3</v>
      </c>
      <c r="CQ30" s="11" t="s">
        <v>4</v>
      </c>
      <c r="CR30" s="11" t="s">
        <v>5</v>
      </c>
      <c r="CS30" s="27" t="s">
        <v>6</v>
      </c>
      <c r="CT30" s="28"/>
      <c r="CV30" s="26"/>
      <c r="CW30" s="26"/>
      <c r="CX30" s="11"/>
      <c r="CY30" s="11" t="s">
        <v>3</v>
      </c>
      <c r="CZ30" s="11" t="s">
        <v>4</v>
      </c>
      <c r="DA30" s="11" t="s">
        <v>5</v>
      </c>
      <c r="DB30" s="27" t="s">
        <v>6</v>
      </c>
      <c r="DC30" s="28"/>
      <c r="DE30" s="26"/>
      <c r="DF30" s="26"/>
      <c r="DG30" s="11"/>
      <c r="DH30" s="11" t="s">
        <v>3</v>
      </c>
      <c r="DI30" s="11" t="s">
        <v>4</v>
      </c>
      <c r="DJ30" s="11" t="s">
        <v>5</v>
      </c>
      <c r="DK30" s="27" t="s">
        <v>6</v>
      </c>
      <c r="DL30" s="28"/>
      <c r="DN30" s="26"/>
      <c r="DO30" s="26"/>
      <c r="DP30" s="11"/>
      <c r="DQ30" s="11" t="s">
        <v>3</v>
      </c>
      <c r="DR30" s="11" t="s">
        <v>4</v>
      </c>
      <c r="DS30" s="11" t="s">
        <v>5</v>
      </c>
      <c r="DT30" s="27" t="s">
        <v>6</v>
      </c>
      <c r="DU30" s="28"/>
    </row>
    <row r="31" spans="1:128" x14ac:dyDescent="0.25">
      <c r="A31" s="26">
        <v>1</v>
      </c>
      <c r="B31" s="26">
        <v>1</v>
      </c>
      <c r="C31" s="29"/>
      <c r="D31" s="14">
        <v>7</v>
      </c>
      <c r="E31" s="14">
        <v>5</v>
      </c>
      <c r="F31" s="14">
        <v>3</v>
      </c>
      <c r="G31" s="30">
        <f>D31*E31*F31*0.52</f>
        <v>54.6</v>
      </c>
      <c r="H31" s="31"/>
      <c r="J31" s="26">
        <v>1</v>
      </c>
      <c r="K31" s="26">
        <v>1</v>
      </c>
      <c r="L31" s="29"/>
      <c r="M31" s="14">
        <v>6.3</v>
      </c>
      <c r="N31" s="14">
        <v>5.3</v>
      </c>
      <c r="O31" s="14">
        <v>3.5</v>
      </c>
      <c r="P31" s="30">
        <f>M31*N31*O31*0.52</f>
        <v>60.769800000000004</v>
      </c>
      <c r="Q31" s="31"/>
      <c r="S31" s="26">
        <v>1</v>
      </c>
      <c r="T31" s="26">
        <v>1</v>
      </c>
      <c r="U31" s="29"/>
      <c r="V31" s="14">
        <v>6</v>
      </c>
      <c r="W31" s="14">
        <v>6</v>
      </c>
      <c r="X31" s="14">
        <v>3.8</v>
      </c>
      <c r="Y31" s="30">
        <f>V31*W31*X31*0.52</f>
        <v>71.135999999999996</v>
      </c>
      <c r="Z31" s="31"/>
      <c r="AB31" s="26">
        <v>1</v>
      </c>
      <c r="AC31" s="26">
        <v>1</v>
      </c>
      <c r="AD31" s="29"/>
      <c r="AE31" s="14">
        <v>6.3</v>
      </c>
      <c r="AF31" s="14">
        <v>6</v>
      </c>
      <c r="AG31" s="14">
        <v>4.8</v>
      </c>
      <c r="AH31" s="30">
        <f>AE31*AF31*AG31*0.52</f>
        <v>94.348799999999983</v>
      </c>
      <c r="AI31" s="31"/>
      <c r="AK31" s="26">
        <v>1</v>
      </c>
      <c r="AL31" s="26">
        <v>1</v>
      </c>
      <c r="AM31" s="29"/>
      <c r="AN31" s="14">
        <v>10</v>
      </c>
      <c r="AO31" s="14">
        <v>10</v>
      </c>
      <c r="AP31" s="14">
        <v>7.8</v>
      </c>
      <c r="AQ31" s="30">
        <f>AN31*AO31*AP31*0.52</f>
        <v>405.6</v>
      </c>
      <c r="AR31" s="31"/>
      <c r="AT31" s="26">
        <v>1</v>
      </c>
      <c r="AU31" s="26">
        <v>1</v>
      </c>
      <c r="AV31" s="29"/>
      <c r="AW31" s="14">
        <v>11.7</v>
      </c>
      <c r="AX31" s="14">
        <v>9.5</v>
      </c>
      <c r="AY31" s="14">
        <v>9</v>
      </c>
      <c r="AZ31" s="30">
        <f>AW31*AX31*AY31*0.52</f>
        <v>520.18200000000002</v>
      </c>
      <c r="BA31" s="31"/>
      <c r="BC31" s="26">
        <v>1</v>
      </c>
      <c r="BD31" s="26">
        <v>1</v>
      </c>
      <c r="BE31" s="29"/>
      <c r="BF31" s="14">
        <v>13</v>
      </c>
      <c r="BG31" s="14">
        <v>13.5</v>
      </c>
      <c r="BH31" s="14">
        <v>10.7</v>
      </c>
      <c r="BI31" s="30">
        <f>BF31*BG31*BH31*0.52</f>
        <v>976.48199999999997</v>
      </c>
      <c r="BJ31" s="31"/>
      <c r="BL31" s="26">
        <v>1</v>
      </c>
      <c r="BM31" s="26">
        <v>1</v>
      </c>
      <c r="BN31" s="29"/>
      <c r="BO31" s="14"/>
      <c r="BP31" s="14"/>
      <c r="BQ31" s="14"/>
      <c r="BR31" s="76"/>
      <c r="BS31" s="31" t="s">
        <v>73</v>
      </c>
      <c r="BU31" s="26">
        <v>1</v>
      </c>
      <c r="BV31" s="26">
        <v>1</v>
      </c>
      <c r="BW31" s="29"/>
      <c r="BX31" s="76"/>
      <c r="BY31" s="76"/>
      <c r="BZ31" s="76"/>
      <c r="CA31" s="76"/>
      <c r="CB31" s="31" t="s">
        <v>73</v>
      </c>
      <c r="CD31" s="26">
        <v>1</v>
      </c>
      <c r="CE31" s="26">
        <v>1</v>
      </c>
      <c r="CF31" s="29"/>
      <c r="CG31" s="76"/>
      <c r="CH31" s="76"/>
      <c r="CI31" s="76"/>
      <c r="CJ31" s="76"/>
      <c r="CK31" s="31" t="s">
        <v>73</v>
      </c>
      <c r="CM31" s="26">
        <v>1</v>
      </c>
      <c r="CN31" s="26">
        <v>1</v>
      </c>
      <c r="CO31" s="29"/>
      <c r="CP31" s="76"/>
      <c r="CQ31" s="76"/>
      <c r="CR31" s="76"/>
      <c r="CS31" s="76"/>
      <c r="CT31" s="31" t="s">
        <v>73</v>
      </c>
      <c r="CV31" s="26">
        <v>1</v>
      </c>
      <c r="CW31" s="26">
        <v>1</v>
      </c>
      <c r="CX31" s="29"/>
      <c r="CY31" s="76"/>
      <c r="CZ31" s="76"/>
      <c r="DA31" s="76"/>
      <c r="DB31" s="76"/>
      <c r="DC31" s="31" t="s">
        <v>73</v>
      </c>
      <c r="DE31" s="26">
        <v>1</v>
      </c>
      <c r="DF31" s="26">
        <v>1</v>
      </c>
      <c r="DG31" s="29"/>
      <c r="DH31" s="76"/>
      <c r="DI31" s="76"/>
      <c r="DJ31" s="76"/>
      <c r="DK31" s="76"/>
      <c r="DL31" s="31" t="s">
        <v>73</v>
      </c>
      <c r="DN31" s="26">
        <v>1</v>
      </c>
      <c r="DO31" s="26">
        <v>1</v>
      </c>
      <c r="DP31" s="29"/>
      <c r="DQ31" s="76"/>
      <c r="DR31" s="76"/>
      <c r="DS31" s="76"/>
      <c r="DT31" s="76"/>
      <c r="DU31" s="31" t="s">
        <v>73</v>
      </c>
      <c r="DX31">
        <v>29</v>
      </c>
    </row>
    <row r="32" spans="1:128" x14ac:dyDescent="0.25">
      <c r="A32" s="26">
        <v>2</v>
      </c>
      <c r="B32" s="26">
        <v>2</v>
      </c>
      <c r="C32" s="32"/>
      <c r="D32" s="14">
        <v>5</v>
      </c>
      <c r="E32" s="14">
        <v>3</v>
      </c>
      <c r="F32" s="14">
        <v>3</v>
      </c>
      <c r="G32" s="30">
        <f t="shared" ref="G32:G40" si="13">D32*E32*F32*0.52</f>
        <v>23.400000000000002</v>
      </c>
      <c r="H32" s="31"/>
      <c r="J32" s="26">
        <v>2</v>
      </c>
      <c r="K32" s="26">
        <v>2</v>
      </c>
      <c r="L32" s="32"/>
      <c r="M32" s="14">
        <v>7</v>
      </c>
      <c r="N32" s="14">
        <v>4.5</v>
      </c>
      <c r="O32" s="14">
        <v>2.5</v>
      </c>
      <c r="P32" s="30">
        <f t="shared" ref="P32:P40" si="14">M32*N32*O32*0.52</f>
        <v>40.950000000000003</v>
      </c>
      <c r="Q32" s="31"/>
      <c r="S32" s="26">
        <v>2</v>
      </c>
      <c r="T32" s="26">
        <v>2</v>
      </c>
      <c r="U32" s="32"/>
      <c r="V32" s="14">
        <v>7.5</v>
      </c>
      <c r="W32" s="14">
        <v>5</v>
      </c>
      <c r="X32" s="14">
        <v>2.8</v>
      </c>
      <c r="Y32" s="30">
        <f t="shared" ref="Y32:Y40" si="15">V32*W32*X32*0.52</f>
        <v>54.6</v>
      </c>
      <c r="Z32" s="31"/>
      <c r="AB32" s="26">
        <v>2</v>
      </c>
      <c r="AC32" s="26">
        <v>2</v>
      </c>
      <c r="AD32" s="32"/>
      <c r="AE32" s="14">
        <v>6</v>
      </c>
      <c r="AF32" s="14">
        <v>6</v>
      </c>
      <c r="AG32" s="14">
        <v>3</v>
      </c>
      <c r="AH32" s="30">
        <f t="shared" ref="AH32:AH40" si="16">AE32*AF32*AG32*0.52</f>
        <v>56.160000000000004</v>
      </c>
      <c r="AI32" s="31"/>
      <c r="AK32" s="26">
        <v>2</v>
      </c>
      <c r="AL32" s="26">
        <v>2</v>
      </c>
      <c r="AM32" s="32"/>
      <c r="AN32" s="14">
        <v>6</v>
      </c>
      <c r="AO32" s="14">
        <v>6</v>
      </c>
      <c r="AP32" s="14">
        <v>5</v>
      </c>
      <c r="AQ32" s="30">
        <f t="shared" ref="AQ32:AQ40" si="17">AN32*AO32*AP32*0.52</f>
        <v>93.600000000000009</v>
      </c>
      <c r="AR32" s="31"/>
      <c r="AT32" s="26">
        <v>2</v>
      </c>
      <c r="AU32" s="26">
        <v>2</v>
      </c>
      <c r="AV32" s="32"/>
      <c r="AW32" s="14">
        <v>8</v>
      </c>
      <c r="AX32" s="14">
        <v>6.6</v>
      </c>
      <c r="AY32" s="14">
        <v>5.0999999999999996</v>
      </c>
      <c r="AZ32" s="30">
        <f t="shared" ref="AZ32:AZ40" si="18">AW32*AX32*AY32*0.52</f>
        <v>140.0256</v>
      </c>
      <c r="BA32" s="31"/>
      <c r="BC32" s="26">
        <v>2</v>
      </c>
      <c r="BD32" s="26">
        <v>2</v>
      </c>
      <c r="BE32" s="32"/>
      <c r="BF32" s="14">
        <v>7.9</v>
      </c>
      <c r="BG32" s="14">
        <v>6.5</v>
      </c>
      <c r="BH32" s="14">
        <v>7.5</v>
      </c>
      <c r="BI32" s="30">
        <f t="shared" ref="BI32:BI40" si="19">BF32*BG32*BH32*0.52</f>
        <v>200.26500000000001</v>
      </c>
      <c r="BJ32" s="31"/>
      <c r="BL32" s="26">
        <v>2</v>
      </c>
      <c r="BM32" s="26">
        <v>2</v>
      </c>
      <c r="BN32" s="32"/>
      <c r="BO32" s="14">
        <v>15</v>
      </c>
      <c r="BP32" s="14">
        <v>12</v>
      </c>
      <c r="BQ32" s="14">
        <v>8.3000000000000007</v>
      </c>
      <c r="BR32" s="30">
        <f t="shared" ref="BR32:BR40" si="20">BO32*BP32*BQ32*0.52</f>
        <v>776.88000000000011</v>
      </c>
      <c r="BS32" s="31"/>
      <c r="BU32" s="26">
        <v>2</v>
      </c>
      <c r="BV32" s="26">
        <v>2</v>
      </c>
      <c r="BW32" s="32"/>
      <c r="BX32" s="14">
        <v>16.8</v>
      </c>
      <c r="BY32" s="14">
        <v>14.7</v>
      </c>
      <c r="BZ32" s="14">
        <v>11.6</v>
      </c>
      <c r="CA32" s="30">
        <f t="shared" ref="CA32:CA37" si="21">BX32*BY32*BZ32*0.52</f>
        <v>1489.66272</v>
      </c>
      <c r="CB32" s="31"/>
      <c r="CD32" s="26">
        <v>2</v>
      </c>
      <c r="CE32" s="26">
        <v>2</v>
      </c>
      <c r="CF32" s="32"/>
      <c r="CG32" s="14">
        <v>24</v>
      </c>
      <c r="CH32" s="14">
        <v>18</v>
      </c>
      <c r="CI32" s="14">
        <v>14</v>
      </c>
      <c r="CJ32" s="82">
        <f t="shared" ref="CJ32" si="22">CG32*CH32*CI32*0.52</f>
        <v>3144.96</v>
      </c>
      <c r="CK32" s="31" t="s">
        <v>78</v>
      </c>
      <c r="CM32" s="26">
        <v>2</v>
      </c>
      <c r="CN32" s="26">
        <v>2</v>
      </c>
      <c r="CO32" s="32"/>
      <c r="CP32" s="82"/>
      <c r="CQ32" s="82"/>
      <c r="CR32" s="82"/>
      <c r="CS32" s="82"/>
      <c r="CT32" s="31" t="s">
        <v>78</v>
      </c>
      <c r="CV32" s="26">
        <v>2</v>
      </c>
      <c r="CW32" s="26">
        <v>2</v>
      </c>
      <c r="CX32" s="32"/>
      <c r="CY32" s="82"/>
      <c r="CZ32" s="82"/>
      <c r="DA32" s="82"/>
      <c r="DB32" s="82"/>
      <c r="DC32" s="31" t="s">
        <v>78</v>
      </c>
      <c r="DE32" s="26">
        <v>2</v>
      </c>
      <c r="DF32" s="26">
        <v>2</v>
      </c>
      <c r="DG32" s="32"/>
      <c r="DH32" s="82"/>
      <c r="DI32" s="82"/>
      <c r="DJ32" s="82"/>
      <c r="DK32" s="82"/>
      <c r="DL32" s="31" t="s">
        <v>78</v>
      </c>
      <c r="DN32" s="26">
        <v>2</v>
      </c>
      <c r="DO32" s="26">
        <v>2</v>
      </c>
      <c r="DP32" s="32"/>
      <c r="DQ32" s="82"/>
      <c r="DR32" s="82"/>
      <c r="DS32" s="82"/>
      <c r="DT32" s="82"/>
      <c r="DU32" s="31" t="s">
        <v>78</v>
      </c>
      <c r="DX32">
        <v>29</v>
      </c>
    </row>
    <row r="33" spans="1:128" x14ac:dyDescent="0.25">
      <c r="A33" s="26">
        <v>3</v>
      </c>
      <c r="B33" s="26">
        <v>3</v>
      </c>
      <c r="C33" s="33"/>
      <c r="D33" s="14">
        <v>3</v>
      </c>
      <c r="E33" s="14">
        <v>3</v>
      </c>
      <c r="F33" s="14">
        <v>2</v>
      </c>
      <c r="G33" s="30">
        <f t="shared" si="13"/>
        <v>9.36</v>
      </c>
      <c r="H33" s="31"/>
      <c r="J33" s="26">
        <v>3</v>
      </c>
      <c r="K33" s="26">
        <v>3</v>
      </c>
      <c r="L33" s="33"/>
      <c r="M33" s="14">
        <v>5</v>
      </c>
      <c r="N33" s="14">
        <v>5</v>
      </c>
      <c r="O33" s="14">
        <v>3</v>
      </c>
      <c r="P33" s="30">
        <f t="shared" si="14"/>
        <v>39</v>
      </c>
      <c r="Q33" s="31"/>
      <c r="S33" s="26">
        <v>3</v>
      </c>
      <c r="T33" s="26">
        <v>3</v>
      </c>
      <c r="U33" s="33"/>
      <c r="V33" s="14">
        <v>6</v>
      </c>
      <c r="W33" s="14">
        <v>6</v>
      </c>
      <c r="X33" s="14">
        <v>3</v>
      </c>
      <c r="Y33" s="30">
        <f t="shared" si="15"/>
        <v>56.160000000000004</v>
      </c>
      <c r="Z33" s="31"/>
      <c r="AB33" s="26">
        <v>3</v>
      </c>
      <c r="AC33" s="26">
        <v>3</v>
      </c>
      <c r="AD33" s="33"/>
      <c r="AE33" s="14">
        <v>11.2</v>
      </c>
      <c r="AF33" s="14">
        <v>9.3000000000000007</v>
      </c>
      <c r="AG33" s="14">
        <v>4.5999999999999996</v>
      </c>
      <c r="AH33" s="30">
        <f t="shared" si="16"/>
        <v>249.15071999999998</v>
      </c>
      <c r="AI33" s="31"/>
      <c r="AK33" s="26">
        <v>3</v>
      </c>
      <c r="AL33" s="26">
        <v>3</v>
      </c>
      <c r="AM33" s="33"/>
      <c r="AN33" s="14">
        <v>14</v>
      </c>
      <c r="AO33" s="14">
        <v>14</v>
      </c>
      <c r="AP33" s="14">
        <v>7.8</v>
      </c>
      <c r="AQ33" s="30">
        <f t="shared" si="17"/>
        <v>794.976</v>
      </c>
      <c r="AR33" s="31"/>
      <c r="AT33" s="26">
        <v>3</v>
      </c>
      <c r="AU33" s="26">
        <v>3</v>
      </c>
      <c r="AV33" s="33"/>
      <c r="AW33" s="14">
        <v>17</v>
      </c>
      <c r="AX33" s="14">
        <v>14.8</v>
      </c>
      <c r="AY33" s="14">
        <v>7.5</v>
      </c>
      <c r="AZ33" s="30">
        <f t="shared" si="18"/>
        <v>981.24000000000012</v>
      </c>
      <c r="BA33" s="31"/>
      <c r="BC33" s="26">
        <v>3</v>
      </c>
      <c r="BD33" s="26">
        <v>3</v>
      </c>
      <c r="BE33" s="33"/>
      <c r="BF33" s="14">
        <v>21</v>
      </c>
      <c r="BG33" s="14">
        <v>14.2</v>
      </c>
      <c r="BH33" s="14">
        <v>10.6</v>
      </c>
      <c r="BI33" s="30">
        <f t="shared" si="19"/>
        <v>1643.6783999999998</v>
      </c>
      <c r="BJ33" s="31"/>
      <c r="BL33" s="26">
        <v>3</v>
      </c>
      <c r="BM33" s="26">
        <v>3</v>
      </c>
      <c r="BN33" s="33"/>
      <c r="BO33" s="14">
        <v>29</v>
      </c>
      <c r="BP33" s="14">
        <v>19</v>
      </c>
      <c r="BQ33" s="14">
        <v>14</v>
      </c>
      <c r="BR33" s="76">
        <f t="shared" si="20"/>
        <v>4011.28</v>
      </c>
      <c r="BS33" s="31" t="s">
        <v>72</v>
      </c>
      <c r="BU33" s="26">
        <v>3</v>
      </c>
      <c r="BV33" s="26">
        <v>3</v>
      </c>
      <c r="BW33" s="33"/>
      <c r="BX33" s="76"/>
      <c r="BY33" s="76"/>
      <c r="BZ33" s="76"/>
      <c r="CA33" s="76"/>
      <c r="CB33" s="31" t="s">
        <v>72</v>
      </c>
      <c r="CD33" s="26">
        <v>3</v>
      </c>
      <c r="CE33" s="26">
        <v>3</v>
      </c>
      <c r="CF33" s="33"/>
      <c r="CG33" s="76"/>
      <c r="CH33" s="76"/>
      <c r="CI33" s="76"/>
      <c r="CJ33" s="76"/>
      <c r="CK33" s="31" t="s">
        <v>72</v>
      </c>
      <c r="CM33" s="26">
        <v>3</v>
      </c>
      <c r="CN33" s="26">
        <v>3</v>
      </c>
      <c r="CO33" s="33"/>
      <c r="CP33" s="76"/>
      <c r="CQ33" s="76"/>
      <c r="CR33" s="76"/>
      <c r="CS33" s="76"/>
      <c r="CT33" s="31" t="s">
        <v>72</v>
      </c>
      <c r="CV33" s="26">
        <v>3</v>
      </c>
      <c r="CW33" s="26">
        <v>3</v>
      </c>
      <c r="CX33" s="33"/>
      <c r="CY33" s="76"/>
      <c r="CZ33" s="76"/>
      <c r="DA33" s="76"/>
      <c r="DB33" s="76"/>
      <c r="DC33" s="31" t="s">
        <v>72</v>
      </c>
      <c r="DE33" s="26">
        <v>3</v>
      </c>
      <c r="DF33" s="26">
        <v>3</v>
      </c>
      <c r="DG33" s="33"/>
      <c r="DH33" s="76"/>
      <c r="DI33" s="76"/>
      <c r="DJ33" s="76"/>
      <c r="DK33" s="76"/>
      <c r="DL33" s="31" t="s">
        <v>72</v>
      </c>
      <c r="DN33" s="26">
        <v>3</v>
      </c>
      <c r="DO33" s="26">
        <v>3</v>
      </c>
      <c r="DP33" s="33"/>
      <c r="DQ33" s="76"/>
      <c r="DR33" s="76"/>
      <c r="DS33" s="76"/>
      <c r="DT33" s="76"/>
      <c r="DU33" s="31" t="s">
        <v>72</v>
      </c>
      <c r="DX33">
        <v>29</v>
      </c>
    </row>
    <row r="34" spans="1:128" x14ac:dyDescent="0.25">
      <c r="A34" s="26">
        <v>4</v>
      </c>
      <c r="B34" s="26">
        <v>4</v>
      </c>
      <c r="C34" s="33"/>
      <c r="D34" s="14">
        <v>4</v>
      </c>
      <c r="E34" s="14">
        <v>4</v>
      </c>
      <c r="F34" s="14">
        <v>3</v>
      </c>
      <c r="G34" s="30">
        <f t="shared" si="13"/>
        <v>24.96</v>
      </c>
      <c r="H34" s="31"/>
      <c r="J34" s="26">
        <v>4</v>
      </c>
      <c r="K34" s="26">
        <v>4</v>
      </c>
      <c r="L34" s="33"/>
      <c r="M34" s="14">
        <v>6</v>
      </c>
      <c r="N34" s="14">
        <v>5</v>
      </c>
      <c r="O34" s="14">
        <v>2.5</v>
      </c>
      <c r="P34" s="30">
        <f t="shared" si="14"/>
        <v>39</v>
      </c>
      <c r="Q34" s="31"/>
      <c r="S34" s="26">
        <v>4</v>
      </c>
      <c r="T34" s="26">
        <v>4</v>
      </c>
      <c r="U34" s="33"/>
      <c r="V34" s="14">
        <v>6</v>
      </c>
      <c r="W34" s="14">
        <v>6</v>
      </c>
      <c r="X34" s="14">
        <v>2.5</v>
      </c>
      <c r="Y34" s="30">
        <f t="shared" si="15"/>
        <v>46.800000000000004</v>
      </c>
      <c r="Z34" s="31"/>
      <c r="AB34" s="26">
        <v>4</v>
      </c>
      <c r="AC34" s="26">
        <v>4</v>
      </c>
      <c r="AD34" s="33"/>
      <c r="AE34" s="14">
        <v>3</v>
      </c>
      <c r="AF34" s="14">
        <v>3</v>
      </c>
      <c r="AG34" s="14">
        <v>3</v>
      </c>
      <c r="AH34" s="30">
        <f t="shared" si="16"/>
        <v>14.040000000000001</v>
      </c>
      <c r="AI34" s="31"/>
      <c r="AK34" s="26">
        <v>4</v>
      </c>
      <c r="AL34" s="26">
        <v>4</v>
      </c>
      <c r="AM34" s="33"/>
      <c r="AN34" s="14">
        <v>5</v>
      </c>
      <c r="AO34" s="14">
        <v>5</v>
      </c>
      <c r="AP34" s="14">
        <v>3</v>
      </c>
      <c r="AQ34" s="30">
        <f t="shared" si="17"/>
        <v>39</v>
      </c>
      <c r="AR34" s="31"/>
      <c r="AT34" s="26">
        <v>4</v>
      </c>
      <c r="AU34" s="26">
        <v>4</v>
      </c>
      <c r="AV34" s="33"/>
      <c r="AW34" s="14">
        <v>5</v>
      </c>
      <c r="AX34" s="14">
        <v>5</v>
      </c>
      <c r="AY34" s="14">
        <v>3</v>
      </c>
      <c r="AZ34" s="30">
        <f t="shared" si="18"/>
        <v>39</v>
      </c>
      <c r="BA34" s="31"/>
      <c r="BC34" s="26">
        <v>4</v>
      </c>
      <c r="BD34" s="26">
        <v>4</v>
      </c>
      <c r="BE34" s="33"/>
      <c r="BF34" s="14">
        <v>5</v>
      </c>
      <c r="BG34" s="14">
        <v>5</v>
      </c>
      <c r="BH34" s="14">
        <v>5</v>
      </c>
      <c r="BI34" s="30">
        <f t="shared" si="19"/>
        <v>65</v>
      </c>
      <c r="BJ34" s="31"/>
      <c r="BL34" s="26">
        <v>4</v>
      </c>
      <c r="BM34" s="26">
        <v>4</v>
      </c>
      <c r="BN34" s="33"/>
      <c r="BO34" s="14">
        <v>10</v>
      </c>
      <c r="BP34" s="14">
        <v>10</v>
      </c>
      <c r="BQ34" s="14">
        <v>7</v>
      </c>
      <c r="BR34" s="30">
        <f t="shared" si="20"/>
        <v>364</v>
      </c>
      <c r="BS34" s="31"/>
      <c r="BU34" s="26">
        <v>4</v>
      </c>
      <c r="BV34" s="26">
        <v>4</v>
      </c>
      <c r="BW34" s="33"/>
      <c r="BX34" s="14">
        <v>10</v>
      </c>
      <c r="BY34" s="14">
        <v>10</v>
      </c>
      <c r="BZ34" s="14">
        <v>6.6</v>
      </c>
      <c r="CA34" s="30">
        <f t="shared" si="21"/>
        <v>343.2</v>
      </c>
      <c r="CB34" s="31"/>
      <c r="CD34" s="26">
        <v>4</v>
      </c>
      <c r="CE34" s="26">
        <v>4</v>
      </c>
      <c r="CF34" s="33"/>
      <c r="CG34" s="14">
        <v>10</v>
      </c>
      <c r="CH34" s="14">
        <v>10</v>
      </c>
      <c r="CI34" s="14">
        <v>6.8</v>
      </c>
      <c r="CJ34" s="30">
        <f t="shared" ref="CJ34" si="23">CG34*CH34*CI34*0.52</f>
        <v>353.6</v>
      </c>
      <c r="CK34" s="31"/>
      <c r="CM34" s="26">
        <v>4</v>
      </c>
      <c r="CN34" s="26">
        <v>4</v>
      </c>
      <c r="CO34" s="33"/>
      <c r="CP34" s="14">
        <v>13</v>
      </c>
      <c r="CQ34" s="14">
        <v>13.8</v>
      </c>
      <c r="CR34" s="14">
        <v>7.8</v>
      </c>
      <c r="CS34" s="30">
        <f t="shared" ref="CS34" si="24">CP34*CQ34*CR34*0.52</f>
        <v>727.64639999999997</v>
      </c>
      <c r="CT34" s="31"/>
      <c r="CV34" s="26">
        <v>4</v>
      </c>
      <c r="CW34" s="26">
        <v>4</v>
      </c>
      <c r="CX34" s="33"/>
      <c r="CY34" s="14">
        <v>19.2</v>
      </c>
      <c r="CZ34" s="14">
        <v>14.7</v>
      </c>
      <c r="DA34" s="14">
        <v>10.199999999999999</v>
      </c>
      <c r="DB34" s="30">
        <f t="shared" ref="DB34" si="25">CY34*CZ34*DA34*0.52</f>
        <v>1497.0009599999998</v>
      </c>
      <c r="DC34" s="31"/>
      <c r="DE34" s="26">
        <v>4</v>
      </c>
      <c r="DF34" s="26">
        <v>4</v>
      </c>
      <c r="DG34" s="33"/>
      <c r="DH34" s="14">
        <v>27.5</v>
      </c>
      <c r="DI34" s="14">
        <v>19.8</v>
      </c>
      <c r="DJ34" s="14">
        <v>11.8</v>
      </c>
      <c r="DK34" s="76">
        <f t="shared" ref="DK34" si="26">DH34*DI34*DJ34*0.52</f>
        <v>3341.0520000000001</v>
      </c>
      <c r="DL34" s="31" t="s">
        <v>87</v>
      </c>
      <c r="DN34" s="26">
        <v>4</v>
      </c>
      <c r="DO34" s="26">
        <v>4</v>
      </c>
      <c r="DP34" s="33"/>
      <c r="DQ34" s="76"/>
      <c r="DR34" s="76"/>
      <c r="DS34" s="76"/>
      <c r="DT34" s="76"/>
      <c r="DU34" s="31" t="s">
        <v>87</v>
      </c>
      <c r="DX34">
        <v>29</v>
      </c>
    </row>
    <row r="35" spans="1:128" x14ac:dyDescent="0.25">
      <c r="A35" s="26">
        <v>5</v>
      </c>
      <c r="B35" s="26">
        <v>5</v>
      </c>
      <c r="C35" s="33"/>
      <c r="D35" s="14">
        <v>5</v>
      </c>
      <c r="E35" s="14">
        <v>5</v>
      </c>
      <c r="F35" s="14">
        <v>4</v>
      </c>
      <c r="G35" s="30">
        <f t="shared" si="13"/>
        <v>52</v>
      </c>
      <c r="H35" s="31"/>
      <c r="J35" s="26">
        <v>5</v>
      </c>
      <c r="K35" s="26">
        <v>5</v>
      </c>
      <c r="L35" s="33"/>
      <c r="M35" s="14">
        <v>7.9</v>
      </c>
      <c r="N35" s="14">
        <v>5.2</v>
      </c>
      <c r="O35" s="14">
        <v>2.1</v>
      </c>
      <c r="P35" s="30">
        <f t="shared" si="14"/>
        <v>44.859360000000009</v>
      </c>
      <c r="Q35" s="31"/>
      <c r="S35" s="26">
        <v>5</v>
      </c>
      <c r="T35" s="26">
        <v>5</v>
      </c>
      <c r="U35" s="33"/>
      <c r="V35" s="14">
        <v>6.7</v>
      </c>
      <c r="W35" s="14">
        <v>4.4000000000000004</v>
      </c>
      <c r="X35" s="14">
        <v>3</v>
      </c>
      <c r="Y35" s="30">
        <f t="shared" si="15"/>
        <v>45.988800000000005</v>
      </c>
      <c r="Z35" s="31"/>
      <c r="AB35" s="26">
        <v>5</v>
      </c>
      <c r="AC35" s="26">
        <v>5</v>
      </c>
      <c r="AD35" s="33"/>
      <c r="AE35" s="14">
        <v>7.5</v>
      </c>
      <c r="AF35" s="14">
        <v>5.6</v>
      </c>
      <c r="AG35" s="14">
        <v>4.7</v>
      </c>
      <c r="AH35" s="30">
        <f t="shared" si="16"/>
        <v>102.64800000000001</v>
      </c>
      <c r="AI35" s="31"/>
      <c r="AK35" s="26">
        <v>5</v>
      </c>
      <c r="AL35" s="26">
        <v>5</v>
      </c>
      <c r="AM35" s="33"/>
      <c r="AN35" s="14">
        <v>7.7</v>
      </c>
      <c r="AO35" s="14">
        <v>7.3</v>
      </c>
      <c r="AP35" s="14">
        <v>5.4</v>
      </c>
      <c r="AQ35" s="30">
        <f t="shared" si="17"/>
        <v>157.83768000000003</v>
      </c>
      <c r="AR35" s="31"/>
      <c r="AT35" s="26">
        <v>5</v>
      </c>
      <c r="AU35" s="26">
        <v>5</v>
      </c>
      <c r="AV35" s="33"/>
      <c r="AW35" s="14">
        <v>11.5</v>
      </c>
      <c r="AX35" s="14">
        <v>8.9</v>
      </c>
      <c r="AY35" s="14">
        <v>8</v>
      </c>
      <c r="AZ35" s="30">
        <f t="shared" si="18"/>
        <v>425.77600000000007</v>
      </c>
      <c r="BA35" s="31"/>
      <c r="BC35" s="26">
        <v>5</v>
      </c>
      <c r="BD35" s="26">
        <v>5</v>
      </c>
      <c r="BE35" s="33"/>
      <c r="BF35" s="14">
        <v>12.8</v>
      </c>
      <c r="BG35" s="14">
        <v>15.5</v>
      </c>
      <c r="BH35" s="14">
        <v>10</v>
      </c>
      <c r="BI35" s="30">
        <f t="shared" si="19"/>
        <v>1031.68</v>
      </c>
      <c r="BJ35" s="31"/>
      <c r="BL35" s="26">
        <v>5</v>
      </c>
      <c r="BM35" s="26">
        <v>5</v>
      </c>
      <c r="BN35" s="33"/>
      <c r="BO35" s="14">
        <v>19.399999999999999</v>
      </c>
      <c r="BP35" s="14">
        <v>15</v>
      </c>
      <c r="BQ35" s="14">
        <v>11.6</v>
      </c>
      <c r="BR35" s="30">
        <f t="shared" si="20"/>
        <v>1755.3120000000001</v>
      </c>
      <c r="BS35" s="31"/>
      <c r="BU35" s="26">
        <v>5</v>
      </c>
      <c r="BV35" s="26">
        <v>5</v>
      </c>
      <c r="BW35" s="33"/>
      <c r="BX35" s="14">
        <v>23</v>
      </c>
      <c r="BY35" s="14">
        <v>17</v>
      </c>
      <c r="BZ35" s="14">
        <v>13</v>
      </c>
      <c r="CA35" s="76">
        <f t="shared" si="21"/>
        <v>2643.1600000000003</v>
      </c>
      <c r="CB35" s="31" t="s">
        <v>74</v>
      </c>
      <c r="CD35" s="26">
        <v>5</v>
      </c>
      <c r="CE35" s="26">
        <v>5</v>
      </c>
      <c r="CF35" s="33"/>
      <c r="CG35" s="76"/>
      <c r="CH35" s="76"/>
      <c r="CI35" s="76"/>
      <c r="CJ35" s="76"/>
      <c r="CK35" s="31" t="s">
        <v>74</v>
      </c>
      <c r="CM35" s="26">
        <v>5</v>
      </c>
      <c r="CN35" s="26">
        <v>5</v>
      </c>
      <c r="CO35" s="33"/>
      <c r="CP35" s="76"/>
      <c r="CQ35" s="76"/>
      <c r="CR35" s="76"/>
      <c r="CS35" s="76"/>
      <c r="CT35" s="31" t="s">
        <v>74</v>
      </c>
      <c r="CV35" s="26">
        <v>5</v>
      </c>
      <c r="CW35" s="26">
        <v>5</v>
      </c>
      <c r="CX35" s="33"/>
      <c r="CY35" s="76"/>
      <c r="CZ35" s="76"/>
      <c r="DA35" s="76"/>
      <c r="DB35" s="76"/>
      <c r="DC35" s="31" t="s">
        <v>74</v>
      </c>
      <c r="DE35" s="26">
        <v>5</v>
      </c>
      <c r="DF35" s="26">
        <v>5</v>
      </c>
      <c r="DG35" s="33"/>
      <c r="DH35" s="76"/>
      <c r="DI35" s="76"/>
      <c r="DJ35" s="76"/>
      <c r="DK35" s="76"/>
      <c r="DL35" s="31" t="s">
        <v>74</v>
      </c>
      <c r="DN35" s="26">
        <v>5</v>
      </c>
      <c r="DO35" s="26">
        <v>5</v>
      </c>
      <c r="DP35" s="33"/>
      <c r="DQ35" s="76"/>
      <c r="DR35" s="76"/>
      <c r="DS35" s="76"/>
      <c r="DT35" s="76"/>
      <c r="DU35" s="31" t="s">
        <v>74</v>
      </c>
      <c r="DX35">
        <v>29</v>
      </c>
    </row>
    <row r="36" spans="1:128" x14ac:dyDescent="0.25">
      <c r="A36" s="26">
        <v>6</v>
      </c>
      <c r="B36" s="26">
        <v>6</v>
      </c>
      <c r="C36" s="33"/>
      <c r="D36" s="14">
        <v>5</v>
      </c>
      <c r="E36" s="14">
        <v>5</v>
      </c>
      <c r="F36" s="14">
        <v>3</v>
      </c>
      <c r="G36" s="30">
        <f t="shared" si="13"/>
        <v>39</v>
      </c>
      <c r="H36" s="31"/>
      <c r="J36" s="26">
        <v>6</v>
      </c>
      <c r="K36" s="26">
        <v>6</v>
      </c>
      <c r="L36" s="33"/>
      <c r="M36" s="14">
        <v>5</v>
      </c>
      <c r="N36" s="14">
        <v>4</v>
      </c>
      <c r="O36" s="14">
        <v>2.9</v>
      </c>
      <c r="P36" s="30">
        <f t="shared" si="14"/>
        <v>30.16</v>
      </c>
      <c r="Q36" s="31"/>
      <c r="S36" s="26">
        <v>6</v>
      </c>
      <c r="T36" s="26">
        <v>6</v>
      </c>
      <c r="U36" s="33"/>
      <c r="V36" s="14">
        <v>8</v>
      </c>
      <c r="W36" s="14">
        <v>6</v>
      </c>
      <c r="X36" s="14">
        <v>3.6</v>
      </c>
      <c r="Y36" s="30">
        <f t="shared" si="15"/>
        <v>89.856000000000009</v>
      </c>
      <c r="Z36" s="31"/>
      <c r="AB36" s="26">
        <v>6</v>
      </c>
      <c r="AC36" s="26">
        <v>6</v>
      </c>
      <c r="AD36" s="33"/>
      <c r="AE36" s="14">
        <v>6.5</v>
      </c>
      <c r="AF36" s="14">
        <v>6.5</v>
      </c>
      <c r="AG36" s="14">
        <v>3.5</v>
      </c>
      <c r="AH36" s="30">
        <f t="shared" si="16"/>
        <v>76.894999999999996</v>
      </c>
      <c r="AI36" s="31"/>
      <c r="AK36" s="26">
        <v>6</v>
      </c>
      <c r="AL36" s="26">
        <v>6</v>
      </c>
      <c r="AM36" s="33"/>
      <c r="AN36" s="14">
        <v>13.5</v>
      </c>
      <c r="AO36" s="14">
        <v>7.2</v>
      </c>
      <c r="AP36" s="14">
        <v>5.3</v>
      </c>
      <c r="AQ36" s="30">
        <f t="shared" si="17"/>
        <v>267.88319999999999</v>
      </c>
      <c r="AR36" s="31"/>
      <c r="AT36" s="26">
        <v>6</v>
      </c>
      <c r="AU36" s="26">
        <v>6</v>
      </c>
      <c r="AV36" s="33"/>
      <c r="AW36" s="14">
        <v>9</v>
      </c>
      <c r="AX36" s="14">
        <v>8.1999999999999993</v>
      </c>
      <c r="AY36" s="14">
        <v>6.1</v>
      </c>
      <c r="AZ36" s="30">
        <f t="shared" si="18"/>
        <v>234.09359999999998</v>
      </c>
      <c r="BA36" s="31"/>
      <c r="BC36" s="26">
        <v>6</v>
      </c>
      <c r="BD36" s="26">
        <v>6</v>
      </c>
      <c r="BE36" s="33"/>
      <c r="BF36" s="14">
        <v>21.9</v>
      </c>
      <c r="BG36" s="14">
        <v>13</v>
      </c>
      <c r="BH36" s="14">
        <v>9.1999999999999993</v>
      </c>
      <c r="BI36" s="30">
        <f t="shared" si="19"/>
        <v>1362.0047999999999</v>
      </c>
      <c r="BJ36" s="31"/>
      <c r="BL36" s="26">
        <v>6</v>
      </c>
      <c r="BM36" s="26">
        <v>6</v>
      </c>
      <c r="BN36" s="33"/>
      <c r="BO36" s="14">
        <v>30</v>
      </c>
      <c r="BP36" s="14">
        <v>16</v>
      </c>
      <c r="BQ36" s="14">
        <v>10.6</v>
      </c>
      <c r="BR36" s="76">
        <f t="shared" si="20"/>
        <v>2645.76</v>
      </c>
      <c r="BS36" s="31" t="s">
        <v>72</v>
      </c>
      <c r="BU36" s="26">
        <v>6</v>
      </c>
      <c r="BV36" s="26">
        <v>6</v>
      </c>
      <c r="BW36" s="33"/>
      <c r="BX36" s="76"/>
      <c r="BY36" s="76"/>
      <c r="BZ36" s="76"/>
      <c r="CA36" s="76"/>
      <c r="CB36" s="31" t="s">
        <v>72</v>
      </c>
      <c r="CD36" s="26">
        <v>6</v>
      </c>
      <c r="CE36" s="26">
        <v>6</v>
      </c>
      <c r="CF36" s="33"/>
      <c r="CG36" s="76"/>
      <c r="CH36" s="76"/>
      <c r="CI36" s="76"/>
      <c r="CJ36" s="76"/>
      <c r="CK36" s="31" t="s">
        <v>72</v>
      </c>
      <c r="CM36" s="26">
        <v>6</v>
      </c>
      <c r="CN36" s="26">
        <v>6</v>
      </c>
      <c r="CO36" s="33"/>
      <c r="CP36" s="76"/>
      <c r="CQ36" s="76"/>
      <c r="CR36" s="76"/>
      <c r="CS36" s="76"/>
      <c r="CT36" s="31" t="s">
        <v>72</v>
      </c>
      <c r="CV36" s="26">
        <v>6</v>
      </c>
      <c r="CW36" s="26">
        <v>6</v>
      </c>
      <c r="CX36" s="33"/>
      <c r="CY36" s="76"/>
      <c r="CZ36" s="76"/>
      <c r="DA36" s="76"/>
      <c r="DB36" s="76"/>
      <c r="DC36" s="31" t="s">
        <v>72</v>
      </c>
      <c r="DE36" s="26">
        <v>6</v>
      </c>
      <c r="DF36" s="26">
        <v>6</v>
      </c>
      <c r="DG36" s="33"/>
      <c r="DH36" s="76"/>
      <c r="DI36" s="76"/>
      <c r="DJ36" s="76"/>
      <c r="DK36" s="76"/>
      <c r="DL36" s="31" t="s">
        <v>72</v>
      </c>
      <c r="DN36" s="26">
        <v>6</v>
      </c>
      <c r="DO36" s="26">
        <v>6</v>
      </c>
      <c r="DP36" s="33"/>
      <c r="DQ36" s="76"/>
      <c r="DR36" s="76"/>
      <c r="DS36" s="76"/>
      <c r="DT36" s="76"/>
      <c r="DU36" s="31" t="s">
        <v>72</v>
      </c>
      <c r="DX36">
        <v>33</v>
      </c>
    </row>
    <row r="37" spans="1:128" x14ac:dyDescent="0.25">
      <c r="A37" s="26">
        <v>7</v>
      </c>
      <c r="B37" s="35">
        <v>14</v>
      </c>
      <c r="C37" s="32"/>
      <c r="D37" s="34">
        <v>5</v>
      </c>
      <c r="E37" s="34">
        <v>3</v>
      </c>
      <c r="F37" s="34">
        <v>2</v>
      </c>
      <c r="G37" s="30">
        <f t="shared" si="13"/>
        <v>15.600000000000001</v>
      </c>
      <c r="H37" s="31"/>
      <c r="J37" s="26">
        <v>7</v>
      </c>
      <c r="K37" s="35">
        <v>14</v>
      </c>
      <c r="L37" s="32"/>
      <c r="M37" s="34">
        <v>6.7</v>
      </c>
      <c r="N37" s="34">
        <v>4.7</v>
      </c>
      <c r="O37" s="34">
        <v>3</v>
      </c>
      <c r="P37" s="30">
        <f t="shared" si="14"/>
        <v>49.124400000000001</v>
      </c>
      <c r="Q37" s="31"/>
      <c r="S37" s="26">
        <v>7</v>
      </c>
      <c r="T37" s="35">
        <v>14</v>
      </c>
      <c r="U37" s="32"/>
      <c r="V37" s="34">
        <v>6.1</v>
      </c>
      <c r="W37" s="34">
        <v>4.2</v>
      </c>
      <c r="X37" s="34">
        <v>3.1</v>
      </c>
      <c r="Y37" s="30">
        <f t="shared" si="15"/>
        <v>41.299440000000004</v>
      </c>
      <c r="Z37" s="31"/>
      <c r="AB37" s="26">
        <v>7</v>
      </c>
      <c r="AC37" s="35">
        <v>14</v>
      </c>
      <c r="AD37" s="32"/>
      <c r="AE37" s="34">
        <v>6.5</v>
      </c>
      <c r="AF37" s="34">
        <v>6</v>
      </c>
      <c r="AG37" s="34">
        <v>4</v>
      </c>
      <c r="AH37" s="30">
        <f t="shared" si="16"/>
        <v>81.12</v>
      </c>
      <c r="AI37" s="31"/>
      <c r="AK37" s="26">
        <v>7</v>
      </c>
      <c r="AL37" s="35">
        <v>14</v>
      </c>
      <c r="AM37" s="32"/>
      <c r="AN37" s="34">
        <v>8.8000000000000007</v>
      </c>
      <c r="AO37" s="34">
        <v>8.6999999999999993</v>
      </c>
      <c r="AP37" s="34">
        <v>4.7</v>
      </c>
      <c r="AQ37" s="30">
        <f t="shared" si="17"/>
        <v>187.11264000000003</v>
      </c>
      <c r="AR37" s="31"/>
      <c r="AT37" s="26">
        <v>7</v>
      </c>
      <c r="AU37" s="35">
        <v>14</v>
      </c>
      <c r="AV37" s="32"/>
      <c r="AW37" s="34">
        <v>10</v>
      </c>
      <c r="AX37" s="34">
        <v>10</v>
      </c>
      <c r="AY37" s="34">
        <v>5.7</v>
      </c>
      <c r="AZ37" s="30">
        <f t="shared" si="18"/>
        <v>296.40000000000003</v>
      </c>
      <c r="BA37" s="31"/>
      <c r="BC37" s="26">
        <v>7</v>
      </c>
      <c r="BD37" s="35">
        <v>14</v>
      </c>
      <c r="BE37" s="32"/>
      <c r="BF37" s="34">
        <v>12.9</v>
      </c>
      <c r="BG37" s="34">
        <v>10.3</v>
      </c>
      <c r="BH37" s="34">
        <v>7.3</v>
      </c>
      <c r="BI37" s="30">
        <f t="shared" si="19"/>
        <v>504.37452000000002</v>
      </c>
      <c r="BJ37" s="31"/>
      <c r="BL37" s="26">
        <v>7</v>
      </c>
      <c r="BM37" s="35">
        <v>14</v>
      </c>
      <c r="BN37" s="32"/>
      <c r="BO37" s="34">
        <v>16.899999999999999</v>
      </c>
      <c r="BP37" s="34">
        <v>14</v>
      </c>
      <c r="BQ37" s="34">
        <v>10.5</v>
      </c>
      <c r="BR37" s="30">
        <f t="shared" si="20"/>
        <v>1291.836</v>
      </c>
      <c r="BS37" s="31"/>
      <c r="BU37" s="26">
        <v>7</v>
      </c>
      <c r="BV37" s="35">
        <v>14</v>
      </c>
      <c r="BW37" s="32"/>
      <c r="BX37" s="34">
        <v>21</v>
      </c>
      <c r="BY37" s="34">
        <v>18</v>
      </c>
      <c r="BZ37" s="34">
        <v>13</v>
      </c>
      <c r="CA37" s="76">
        <f t="shared" si="21"/>
        <v>2555.2800000000002</v>
      </c>
      <c r="CB37" s="31" t="s">
        <v>74</v>
      </c>
      <c r="CD37" s="26">
        <v>7</v>
      </c>
      <c r="CE37" s="35">
        <v>14</v>
      </c>
      <c r="CF37" s="32"/>
      <c r="CG37" s="81"/>
      <c r="CH37" s="81"/>
      <c r="CI37" s="81"/>
      <c r="CJ37" s="76"/>
      <c r="CK37" s="31" t="s">
        <v>74</v>
      </c>
      <c r="CM37" s="26">
        <v>7</v>
      </c>
      <c r="CN37" s="35">
        <v>14</v>
      </c>
      <c r="CO37" s="32"/>
      <c r="CP37" s="81"/>
      <c r="CQ37" s="81"/>
      <c r="CR37" s="81"/>
      <c r="CS37" s="76"/>
      <c r="CT37" s="31" t="s">
        <v>74</v>
      </c>
      <c r="CV37" s="26">
        <v>7</v>
      </c>
      <c r="CW37" s="35">
        <v>14</v>
      </c>
      <c r="CX37" s="32"/>
      <c r="CY37" s="81"/>
      <c r="CZ37" s="81"/>
      <c r="DA37" s="81"/>
      <c r="DB37" s="76"/>
      <c r="DC37" s="31" t="s">
        <v>74</v>
      </c>
      <c r="DE37" s="26">
        <v>7</v>
      </c>
      <c r="DF37" s="35">
        <v>14</v>
      </c>
      <c r="DG37" s="32"/>
      <c r="DH37" s="81"/>
      <c r="DI37" s="81"/>
      <c r="DJ37" s="81"/>
      <c r="DK37" s="76"/>
      <c r="DL37" s="31" t="s">
        <v>74</v>
      </c>
      <c r="DN37" s="26">
        <v>7</v>
      </c>
      <c r="DO37" s="35">
        <v>14</v>
      </c>
      <c r="DP37" s="32"/>
      <c r="DQ37" s="81"/>
      <c r="DR37" s="81"/>
      <c r="DS37" s="81"/>
      <c r="DT37" s="76"/>
      <c r="DU37" s="31" t="s">
        <v>74</v>
      </c>
      <c r="DX37">
        <v>33</v>
      </c>
    </row>
    <row r="38" spans="1:128" x14ac:dyDescent="0.25">
      <c r="A38" s="26">
        <v>8</v>
      </c>
      <c r="B38" s="35">
        <v>15</v>
      </c>
      <c r="C38" s="32"/>
      <c r="D38" s="14">
        <v>4</v>
      </c>
      <c r="E38" s="14">
        <v>3</v>
      </c>
      <c r="F38" s="14">
        <v>2</v>
      </c>
      <c r="G38" s="30">
        <f t="shared" si="13"/>
        <v>12.48</v>
      </c>
      <c r="H38" s="31"/>
      <c r="J38" s="26">
        <v>8</v>
      </c>
      <c r="K38" s="35">
        <v>15</v>
      </c>
      <c r="L38" s="32"/>
      <c r="M38" s="14">
        <v>7</v>
      </c>
      <c r="N38" s="14">
        <v>5</v>
      </c>
      <c r="O38" s="14">
        <v>3</v>
      </c>
      <c r="P38" s="30">
        <f t="shared" si="14"/>
        <v>54.6</v>
      </c>
      <c r="Q38" s="31"/>
      <c r="S38" s="26">
        <v>8</v>
      </c>
      <c r="T38" s="35">
        <v>15</v>
      </c>
      <c r="U38" s="32"/>
      <c r="V38" s="14">
        <v>5</v>
      </c>
      <c r="W38" s="14">
        <v>5</v>
      </c>
      <c r="X38" s="14">
        <v>2.5</v>
      </c>
      <c r="Y38" s="30">
        <f t="shared" si="15"/>
        <v>32.5</v>
      </c>
      <c r="Z38" s="31"/>
      <c r="AB38" s="26">
        <v>8</v>
      </c>
      <c r="AC38" s="35">
        <v>15</v>
      </c>
      <c r="AD38" s="32"/>
      <c r="AE38" s="14">
        <v>5</v>
      </c>
      <c r="AF38" s="14">
        <v>5</v>
      </c>
      <c r="AG38" s="14">
        <v>3</v>
      </c>
      <c r="AH38" s="30">
        <f t="shared" si="16"/>
        <v>39</v>
      </c>
      <c r="AI38" s="31"/>
      <c r="AK38" s="26">
        <v>8</v>
      </c>
      <c r="AL38" s="35">
        <v>15</v>
      </c>
      <c r="AM38" s="32"/>
      <c r="AN38" s="14">
        <v>15</v>
      </c>
      <c r="AO38" s="14">
        <v>7.5</v>
      </c>
      <c r="AP38" s="14">
        <v>5.5</v>
      </c>
      <c r="AQ38" s="30">
        <f t="shared" si="17"/>
        <v>321.75</v>
      </c>
      <c r="AR38" s="31"/>
      <c r="AT38" s="26">
        <v>8</v>
      </c>
      <c r="AU38" s="35">
        <v>15</v>
      </c>
      <c r="AV38" s="32"/>
      <c r="AW38" s="14">
        <v>17</v>
      </c>
      <c r="AX38" s="14">
        <v>10</v>
      </c>
      <c r="AY38" s="14">
        <v>8</v>
      </c>
      <c r="AZ38" s="30">
        <f t="shared" si="18"/>
        <v>707.2</v>
      </c>
      <c r="BA38" s="31"/>
      <c r="BC38" s="26">
        <v>8</v>
      </c>
      <c r="BD38" s="35">
        <v>15</v>
      </c>
      <c r="BE38" s="32"/>
      <c r="BF38" s="14">
        <v>21</v>
      </c>
      <c r="BG38" s="14">
        <v>12.9</v>
      </c>
      <c r="BH38" s="14">
        <v>11</v>
      </c>
      <c r="BI38" s="30">
        <f t="shared" si="19"/>
        <v>1549.5480000000002</v>
      </c>
      <c r="BJ38" s="31"/>
      <c r="BL38" s="26">
        <v>8</v>
      </c>
      <c r="BM38" s="35">
        <v>15</v>
      </c>
      <c r="BN38" s="32"/>
      <c r="BO38" s="14">
        <v>27</v>
      </c>
      <c r="BP38" s="14">
        <v>18.5</v>
      </c>
      <c r="BQ38" s="14">
        <v>14</v>
      </c>
      <c r="BR38" s="76">
        <f t="shared" si="20"/>
        <v>3636.36</v>
      </c>
      <c r="BS38" s="31" t="s">
        <v>72</v>
      </c>
      <c r="BU38" s="26">
        <v>8</v>
      </c>
      <c r="BV38" s="35">
        <v>15</v>
      </c>
      <c r="BW38" s="32"/>
      <c r="BX38" s="76"/>
      <c r="BY38" s="76"/>
      <c r="BZ38" s="76"/>
      <c r="CA38" s="76"/>
      <c r="CB38" s="31" t="s">
        <v>72</v>
      </c>
      <c r="CD38" s="26">
        <v>8</v>
      </c>
      <c r="CE38" s="35">
        <v>15</v>
      </c>
      <c r="CF38" s="32"/>
      <c r="CG38" s="76"/>
      <c r="CH38" s="76"/>
      <c r="CI38" s="76"/>
      <c r="CJ38" s="76"/>
      <c r="CK38" s="31" t="s">
        <v>72</v>
      </c>
      <c r="CM38" s="26">
        <v>8</v>
      </c>
      <c r="CN38" s="35">
        <v>15</v>
      </c>
      <c r="CO38" s="32"/>
      <c r="CP38" s="76"/>
      <c r="CQ38" s="76"/>
      <c r="CR38" s="76"/>
      <c r="CS38" s="76"/>
      <c r="CT38" s="31" t="s">
        <v>72</v>
      </c>
      <c r="CV38" s="26">
        <v>8</v>
      </c>
      <c r="CW38" s="35">
        <v>15</v>
      </c>
      <c r="CX38" s="32"/>
      <c r="CY38" s="76"/>
      <c r="CZ38" s="76"/>
      <c r="DA38" s="76"/>
      <c r="DB38" s="76"/>
      <c r="DC38" s="31" t="s">
        <v>72</v>
      </c>
      <c r="DE38" s="26">
        <v>8</v>
      </c>
      <c r="DF38" s="35">
        <v>15</v>
      </c>
      <c r="DG38" s="32"/>
      <c r="DH38" s="76"/>
      <c r="DI38" s="76"/>
      <c r="DJ38" s="76"/>
      <c r="DK38" s="76"/>
      <c r="DL38" s="31" t="s">
        <v>72</v>
      </c>
      <c r="DN38" s="26">
        <v>8</v>
      </c>
      <c r="DO38" s="35">
        <v>15</v>
      </c>
      <c r="DP38" s="32"/>
      <c r="DQ38" s="76"/>
      <c r="DR38" s="76"/>
      <c r="DS38" s="76"/>
      <c r="DT38" s="76"/>
      <c r="DU38" s="31" t="s">
        <v>72</v>
      </c>
      <c r="DX38">
        <v>33</v>
      </c>
    </row>
    <row r="39" spans="1:128" x14ac:dyDescent="0.25">
      <c r="A39" s="26">
        <v>9</v>
      </c>
      <c r="B39" s="35">
        <v>16</v>
      </c>
      <c r="C39" s="32"/>
      <c r="D39" s="14">
        <v>7</v>
      </c>
      <c r="E39" s="14">
        <v>5</v>
      </c>
      <c r="F39" s="14">
        <v>3</v>
      </c>
      <c r="G39" s="30">
        <f t="shared" si="13"/>
        <v>54.6</v>
      </c>
      <c r="H39" s="31"/>
      <c r="J39" s="26">
        <v>9</v>
      </c>
      <c r="K39" s="35">
        <v>16</v>
      </c>
      <c r="L39" s="32"/>
      <c r="M39" s="14">
        <v>8</v>
      </c>
      <c r="N39" s="14">
        <v>5.2</v>
      </c>
      <c r="O39" s="14">
        <v>3.4</v>
      </c>
      <c r="P39" s="30">
        <f t="shared" si="14"/>
        <v>73.5488</v>
      </c>
      <c r="Q39" s="31"/>
      <c r="S39" s="26">
        <v>9</v>
      </c>
      <c r="T39" s="35">
        <v>16</v>
      </c>
      <c r="U39" s="32"/>
      <c r="V39" s="14">
        <v>8.6</v>
      </c>
      <c r="W39" s="14">
        <v>4.5</v>
      </c>
      <c r="X39" s="14">
        <v>4.3</v>
      </c>
      <c r="Y39" s="30">
        <f t="shared" si="15"/>
        <v>86.533199999999979</v>
      </c>
      <c r="Z39" s="31"/>
      <c r="AB39" s="26">
        <v>9</v>
      </c>
      <c r="AC39" s="35">
        <v>16</v>
      </c>
      <c r="AD39" s="32"/>
      <c r="AE39" s="14">
        <v>14</v>
      </c>
      <c r="AF39" s="14">
        <v>8</v>
      </c>
      <c r="AG39" s="14">
        <v>6</v>
      </c>
      <c r="AH39" s="30">
        <f t="shared" si="16"/>
        <v>349.44</v>
      </c>
      <c r="AI39" s="31"/>
      <c r="AK39" s="26">
        <v>9</v>
      </c>
      <c r="AL39" s="35">
        <v>16</v>
      </c>
      <c r="AM39" s="32"/>
      <c r="AN39" s="14">
        <v>13</v>
      </c>
      <c r="AO39" s="14">
        <v>8.8000000000000007</v>
      </c>
      <c r="AP39" s="14">
        <v>4.9000000000000004</v>
      </c>
      <c r="AQ39" s="30">
        <f t="shared" si="17"/>
        <v>291.49120000000005</v>
      </c>
      <c r="AR39" s="31"/>
      <c r="AT39" s="26">
        <v>9</v>
      </c>
      <c r="AU39" s="35">
        <v>16</v>
      </c>
      <c r="AV39" s="32"/>
      <c r="AW39" s="14">
        <v>14</v>
      </c>
      <c r="AX39" s="14">
        <v>11</v>
      </c>
      <c r="AY39" s="14">
        <v>5</v>
      </c>
      <c r="AZ39" s="30">
        <f t="shared" si="18"/>
        <v>400.40000000000003</v>
      </c>
      <c r="BA39" s="31" t="s">
        <v>67</v>
      </c>
      <c r="BC39" s="26">
        <v>9</v>
      </c>
      <c r="BD39" s="35">
        <v>16</v>
      </c>
      <c r="BE39" s="32"/>
      <c r="BF39" s="14">
        <v>11.6</v>
      </c>
      <c r="BG39" s="14">
        <v>18.3</v>
      </c>
      <c r="BH39" s="14">
        <v>8.1999999999999993</v>
      </c>
      <c r="BI39" s="30">
        <f t="shared" si="19"/>
        <v>905.16192000000001</v>
      </c>
      <c r="BJ39" s="31" t="s">
        <v>67</v>
      </c>
      <c r="BL39" s="26">
        <v>9</v>
      </c>
      <c r="BM39" s="35">
        <v>16</v>
      </c>
      <c r="BN39" s="32"/>
      <c r="BO39" s="14">
        <v>20</v>
      </c>
      <c r="BP39" s="14">
        <v>16.3</v>
      </c>
      <c r="BQ39" s="14">
        <v>8.1</v>
      </c>
      <c r="BR39" s="30">
        <f t="shared" si="20"/>
        <v>1373.1120000000001</v>
      </c>
      <c r="BS39" s="78" t="s">
        <v>74</v>
      </c>
      <c r="BU39" s="26">
        <v>9</v>
      </c>
      <c r="BV39" s="35">
        <v>16</v>
      </c>
      <c r="BW39" s="32"/>
      <c r="BX39" s="76"/>
      <c r="BY39" s="76"/>
      <c r="BZ39" s="76"/>
      <c r="CA39" s="76"/>
      <c r="CB39" s="31" t="s">
        <v>74</v>
      </c>
      <c r="CD39" s="26">
        <v>9</v>
      </c>
      <c r="CE39" s="35">
        <v>16</v>
      </c>
      <c r="CF39" s="32"/>
      <c r="CG39" s="76"/>
      <c r="CH39" s="76"/>
      <c r="CI39" s="76"/>
      <c r="CJ39" s="76"/>
      <c r="CK39" s="31" t="s">
        <v>74</v>
      </c>
      <c r="CM39" s="26">
        <v>9</v>
      </c>
      <c r="CN39" s="35">
        <v>16</v>
      </c>
      <c r="CO39" s="32"/>
      <c r="CP39" s="76"/>
      <c r="CQ39" s="76"/>
      <c r="CR39" s="76"/>
      <c r="CS39" s="76"/>
      <c r="CT39" s="31" t="s">
        <v>74</v>
      </c>
      <c r="CV39" s="26">
        <v>9</v>
      </c>
      <c r="CW39" s="35">
        <v>16</v>
      </c>
      <c r="CX39" s="32"/>
      <c r="CY39" s="76"/>
      <c r="CZ39" s="76"/>
      <c r="DA39" s="76"/>
      <c r="DB39" s="76"/>
      <c r="DC39" s="31" t="s">
        <v>74</v>
      </c>
      <c r="DE39" s="26">
        <v>9</v>
      </c>
      <c r="DF39" s="35">
        <v>16</v>
      </c>
      <c r="DG39" s="32"/>
      <c r="DH39" s="76"/>
      <c r="DI39" s="76"/>
      <c r="DJ39" s="76"/>
      <c r="DK39" s="76"/>
      <c r="DL39" s="31" t="s">
        <v>74</v>
      </c>
      <c r="DN39" s="26">
        <v>9</v>
      </c>
      <c r="DO39" s="35">
        <v>16</v>
      </c>
      <c r="DP39" s="32"/>
      <c r="DQ39" s="76"/>
      <c r="DR39" s="76"/>
      <c r="DS39" s="76"/>
      <c r="DT39" s="76"/>
      <c r="DU39" s="31" t="s">
        <v>74</v>
      </c>
      <c r="DX39">
        <v>36</v>
      </c>
    </row>
    <row r="40" spans="1:128" x14ac:dyDescent="0.25">
      <c r="A40" s="26">
        <v>10</v>
      </c>
      <c r="B40" s="36" t="s">
        <v>8</v>
      </c>
      <c r="C40" s="32"/>
      <c r="D40" s="14">
        <v>6</v>
      </c>
      <c r="E40" s="14">
        <v>3</v>
      </c>
      <c r="F40" s="14">
        <v>2</v>
      </c>
      <c r="G40" s="30">
        <f t="shared" si="13"/>
        <v>18.72</v>
      </c>
      <c r="H40" s="31"/>
      <c r="J40" s="26">
        <v>10</v>
      </c>
      <c r="K40" s="36" t="s">
        <v>8</v>
      </c>
      <c r="L40" s="32"/>
      <c r="M40" s="14">
        <v>6.7</v>
      </c>
      <c r="N40" s="14">
        <v>5.4</v>
      </c>
      <c r="O40" s="14">
        <v>3</v>
      </c>
      <c r="P40" s="30">
        <f t="shared" si="14"/>
        <v>56.44080000000001</v>
      </c>
      <c r="Q40" s="31"/>
      <c r="S40" s="26">
        <v>10</v>
      </c>
      <c r="T40" s="36" t="s">
        <v>8</v>
      </c>
      <c r="U40" s="32"/>
      <c r="V40" s="14">
        <v>7.2</v>
      </c>
      <c r="W40" s="14">
        <v>6.9</v>
      </c>
      <c r="X40" s="14">
        <v>3.6</v>
      </c>
      <c r="Y40" s="30">
        <f t="shared" si="15"/>
        <v>93.000960000000021</v>
      </c>
      <c r="Z40" s="31"/>
      <c r="AB40" s="26">
        <v>10</v>
      </c>
      <c r="AC40" s="36" t="s">
        <v>8</v>
      </c>
      <c r="AD40" s="32"/>
      <c r="AE40" s="14">
        <v>7.2</v>
      </c>
      <c r="AF40" s="14">
        <v>7</v>
      </c>
      <c r="AG40" s="14">
        <v>4.7</v>
      </c>
      <c r="AH40" s="30">
        <f t="shared" si="16"/>
        <v>123.1776</v>
      </c>
      <c r="AI40" s="31"/>
      <c r="AK40" s="26">
        <v>10</v>
      </c>
      <c r="AL40" s="36" t="s">
        <v>8</v>
      </c>
      <c r="AM40" s="32"/>
      <c r="AN40" s="14">
        <v>15</v>
      </c>
      <c r="AO40" s="14">
        <v>9</v>
      </c>
      <c r="AP40" s="14">
        <v>6.9</v>
      </c>
      <c r="AQ40" s="30">
        <f t="shared" si="17"/>
        <v>484.38</v>
      </c>
      <c r="AR40" s="31"/>
      <c r="AT40" s="26">
        <v>10</v>
      </c>
      <c r="AU40" s="36" t="s">
        <v>8</v>
      </c>
      <c r="AV40" s="32"/>
      <c r="AW40" s="14">
        <v>18</v>
      </c>
      <c r="AX40" s="14">
        <v>11.3</v>
      </c>
      <c r="AY40" s="14">
        <v>8</v>
      </c>
      <c r="AZ40" s="30">
        <f t="shared" si="18"/>
        <v>846.14400000000001</v>
      </c>
      <c r="BA40" s="31"/>
      <c r="BC40" s="26">
        <v>10</v>
      </c>
      <c r="BD40" s="36" t="s">
        <v>8</v>
      </c>
      <c r="BE40" s="32"/>
      <c r="BF40" s="14">
        <v>21</v>
      </c>
      <c r="BG40" s="14">
        <v>14.7</v>
      </c>
      <c r="BH40" s="14">
        <v>11.5</v>
      </c>
      <c r="BI40" s="30">
        <f t="shared" si="19"/>
        <v>1846.0259999999998</v>
      </c>
      <c r="BJ40" s="31"/>
      <c r="BL40" s="26">
        <v>10</v>
      </c>
      <c r="BM40" s="36" t="s">
        <v>8</v>
      </c>
      <c r="BN40" s="32"/>
      <c r="BO40" s="14">
        <v>35</v>
      </c>
      <c r="BP40" s="14">
        <v>19</v>
      </c>
      <c r="BQ40" s="14">
        <v>15</v>
      </c>
      <c r="BR40" s="76">
        <f t="shared" si="20"/>
        <v>5187</v>
      </c>
      <c r="BS40" s="31" t="s">
        <v>72</v>
      </c>
      <c r="BU40" s="26">
        <v>10</v>
      </c>
      <c r="BV40" s="36" t="s">
        <v>8</v>
      </c>
      <c r="BW40" s="32"/>
      <c r="BX40" s="76"/>
      <c r="BY40" s="76"/>
      <c r="BZ40" s="76"/>
      <c r="CA40" s="76"/>
      <c r="CB40" s="31" t="s">
        <v>72</v>
      </c>
      <c r="CD40" s="26">
        <v>10</v>
      </c>
      <c r="CE40" s="36" t="s">
        <v>8</v>
      </c>
      <c r="CF40" s="32"/>
      <c r="CG40" s="76"/>
      <c r="CH40" s="76"/>
      <c r="CI40" s="76"/>
      <c r="CJ40" s="76"/>
      <c r="CK40" s="31" t="s">
        <v>72</v>
      </c>
      <c r="CM40" s="26">
        <v>10</v>
      </c>
      <c r="CN40" s="36" t="s">
        <v>8</v>
      </c>
      <c r="CO40" s="32"/>
      <c r="CP40" s="76"/>
      <c r="CQ40" s="76"/>
      <c r="CR40" s="76"/>
      <c r="CS40" s="76"/>
      <c r="CT40" s="31" t="s">
        <v>72</v>
      </c>
      <c r="CV40" s="26">
        <v>10</v>
      </c>
      <c r="CW40" s="36" t="s">
        <v>8</v>
      </c>
      <c r="CX40" s="32"/>
      <c r="CY40" s="76"/>
      <c r="CZ40" s="76"/>
      <c r="DA40" s="76"/>
      <c r="DB40" s="76"/>
      <c r="DC40" s="31" t="s">
        <v>72</v>
      </c>
      <c r="DE40" s="26">
        <v>10</v>
      </c>
      <c r="DF40" s="36" t="s">
        <v>8</v>
      </c>
      <c r="DG40" s="32"/>
      <c r="DH40" s="76"/>
      <c r="DI40" s="76"/>
      <c r="DJ40" s="76"/>
      <c r="DK40" s="76"/>
      <c r="DL40" s="31" t="s">
        <v>72</v>
      </c>
      <c r="DN40" s="26">
        <v>10</v>
      </c>
      <c r="DO40" s="36" t="s">
        <v>8</v>
      </c>
      <c r="DP40" s="32"/>
      <c r="DQ40" s="76"/>
      <c r="DR40" s="76"/>
      <c r="DS40" s="76"/>
      <c r="DT40" s="76"/>
      <c r="DU40" s="31" t="s">
        <v>72</v>
      </c>
      <c r="DX40">
        <v>52</v>
      </c>
    </row>
    <row r="41" spans="1:128" x14ac:dyDescent="0.25">
      <c r="A41" s="20" t="s">
        <v>9</v>
      </c>
      <c r="B41" s="20"/>
      <c r="C41" s="21"/>
      <c r="D41" s="22"/>
      <c r="E41" s="22"/>
      <c r="F41" s="22"/>
      <c r="G41" s="21">
        <f>AVERAGE(G31:G40)</f>
        <v>30.472000000000001</v>
      </c>
      <c r="H41" s="21"/>
      <c r="J41" s="20" t="s">
        <v>9</v>
      </c>
      <c r="K41" s="20"/>
      <c r="L41" s="21"/>
      <c r="M41" s="22"/>
      <c r="N41" s="22"/>
      <c r="O41" s="22"/>
      <c r="P41" s="21">
        <f>AVERAGE(P31:P40)</f>
        <v>48.845316000000011</v>
      </c>
      <c r="Q41" s="21"/>
      <c r="S41" s="20" t="s">
        <v>9</v>
      </c>
      <c r="T41" s="20"/>
      <c r="U41" s="21"/>
      <c r="V41" s="22"/>
      <c r="W41" s="22"/>
      <c r="X41" s="22"/>
      <c r="Y41" s="21">
        <f>AVERAGE(Y31:Y40)</f>
        <v>61.787439999999989</v>
      </c>
      <c r="Z41" s="21"/>
      <c r="AB41" s="20" t="s">
        <v>9</v>
      </c>
      <c r="AC41" s="20"/>
      <c r="AD41" s="21"/>
      <c r="AE41" s="22"/>
      <c r="AF41" s="22"/>
      <c r="AG41" s="22"/>
      <c r="AH41" s="21">
        <f>AVERAGE(AH31:AH40)</f>
        <v>118.598012</v>
      </c>
      <c r="AI41" s="21"/>
      <c r="AK41" s="20" t="s">
        <v>9</v>
      </c>
      <c r="AL41" s="20"/>
      <c r="AM41" s="21"/>
      <c r="AN41" s="22"/>
      <c r="AO41" s="22"/>
      <c r="AP41" s="22"/>
      <c r="AQ41" s="21">
        <f>AVERAGE(AQ31:AQ40)</f>
        <v>304.36307199999999</v>
      </c>
      <c r="AR41" s="21"/>
      <c r="AT41" s="20" t="s">
        <v>9</v>
      </c>
      <c r="AU41" s="20"/>
      <c r="AV41" s="21"/>
      <c r="AW41" s="22"/>
      <c r="AX41" s="22"/>
      <c r="AY41" s="22"/>
      <c r="AZ41" s="21">
        <f>AVERAGE(AZ31:AZ40)</f>
        <v>459.04612000000009</v>
      </c>
      <c r="BA41" s="21"/>
      <c r="BC41" s="20" t="s">
        <v>9</v>
      </c>
      <c r="BD41" s="20"/>
      <c r="BE41" s="21"/>
      <c r="BF41" s="22"/>
      <c r="BG41" s="22"/>
      <c r="BH41" s="22"/>
      <c r="BI41" s="21">
        <f>AVERAGE(BI31:BI40)</f>
        <v>1008.4220640000001</v>
      </c>
      <c r="BJ41" s="21"/>
      <c r="BL41" s="20" t="s">
        <v>9</v>
      </c>
      <c r="BM41" s="20"/>
      <c r="BN41" s="21"/>
      <c r="BO41" s="22"/>
      <c r="BP41" s="22"/>
      <c r="BQ41" s="22"/>
      <c r="BR41" s="21">
        <f>AVERAGE(BR31:BR40)</f>
        <v>2337.9488888888891</v>
      </c>
      <c r="BS41" s="21"/>
      <c r="BU41" s="20" t="s">
        <v>9</v>
      </c>
      <c r="BV41" s="20"/>
      <c r="BW41" s="21"/>
      <c r="BX41" s="22"/>
      <c r="BY41" s="22"/>
      <c r="BZ41" s="22"/>
      <c r="CA41" s="21">
        <f>AVERAGE(CA31:CA40)</f>
        <v>1757.8256800000004</v>
      </c>
      <c r="CB41" s="21"/>
      <c r="CD41" s="20" t="s">
        <v>9</v>
      </c>
      <c r="CE41" s="20"/>
      <c r="CF41" s="21"/>
      <c r="CG41" s="22"/>
      <c r="CH41" s="22"/>
      <c r="CI41" s="22"/>
      <c r="CJ41" s="21">
        <f>AVERAGE(CJ31:CJ40)</f>
        <v>1749.28</v>
      </c>
      <c r="CK41" s="21"/>
      <c r="CM41" s="20" t="s">
        <v>9</v>
      </c>
      <c r="CN41" s="20"/>
      <c r="CO41" s="21"/>
      <c r="CP41" s="22"/>
      <c r="CQ41" s="22"/>
      <c r="CR41" s="22"/>
      <c r="CS41" s="21">
        <f>AVERAGE(CS31:CS40)</f>
        <v>727.64639999999997</v>
      </c>
      <c r="CT41" s="21"/>
      <c r="CV41" s="20" t="s">
        <v>9</v>
      </c>
      <c r="CW41" s="20"/>
      <c r="CX41" s="21"/>
      <c r="CY41" s="22"/>
      <c r="CZ41" s="22"/>
      <c r="DA41" s="22"/>
      <c r="DB41" s="21">
        <f>AVERAGE(DB31:DB40)</f>
        <v>1497.0009599999998</v>
      </c>
      <c r="DC41" s="21"/>
      <c r="DE41" s="20" t="s">
        <v>9</v>
      </c>
      <c r="DF41" s="20"/>
      <c r="DG41" s="21"/>
      <c r="DH41" s="22"/>
      <c r="DI41" s="22"/>
      <c r="DJ41" s="22"/>
      <c r="DK41" s="21">
        <f>AVERAGE(DK31:DK40)</f>
        <v>3341.0520000000001</v>
      </c>
      <c r="DL41" s="21"/>
      <c r="DN41" s="20" t="s">
        <v>9</v>
      </c>
      <c r="DO41" s="20"/>
      <c r="DP41" s="21"/>
      <c r="DQ41" s="22"/>
      <c r="DR41" s="22"/>
      <c r="DS41" s="22"/>
      <c r="DT41" s="21" t="e">
        <f>AVERAGE(DT31:DT40)</f>
        <v>#DIV/0!</v>
      </c>
      <c r="DU41" s="21"/>
    </row>
    <row r="42" spans="1:128" x14ac:dyDescent="0.25">
      <c r="A42" s="20" t="s">
        <v>10</v>
      </c>
      <c r="B42" s="20"/>
      <c r="C42" s="23"/>
      <c r="D42" s="22"/>
      <c r="E42" s="22"/>
      <c r="F42" s="22"/>
      <c r="G42" s="21">
        <f>AVEDEV(G31:G40)</f>
        <v>15.662400000000002</v>
      </c>
      <c r="H42" s="21"/>
      <c r="J42" s="20" t="s">
        <v>10</v>
      </c>
      <c r="K42" s="20"/>
      <c r="L42" s="23"/>
      <c r="M42" s="22"/>
      <c r="N42" s="22"/>
      <c r="O42" s="22"/>
      <c r="P42" s="21">
        <f>AVEDEV(P31:P40)</f>
        <v>10.051444</v>
      </c>
      <c r="Q42" s="21"/>
      <c r="S42" s="20" t="s">
        <v>10</v>
      </c>
      <c r="T42" s="20"/>
      <c r="U42" s="23"/>
      <c r="V42" s="22"/>
      <c r="W42" s="22"/>
      <c r="X42" s="22"/>
      <c r="Y42" s="21">
        <f>AVEDEV(Y31:Y40)</f>
        <v>18.675279999999997</v>
      </c>
      <c r="Z42" s="21"/>
      <c r="AB42" s="20" t="s">
        <v>10</v>
      </c>
      <c r="AC42" s="20"/>
      <c r="AD42" s="23"/>
      <c r="AE42" s="22"/>
      <c r="AF42" s="22"/>
      <c r="AG42" s="22"/>
      <c r="AH42" s="21">
        <f>AVEDEV(AH31:AH40)</f>
        <v>73.194856799999997</v>
      </c>
      <c r="AI42" s="21"/>
      <c r="AK42" s="20" t="s">
        <v>10</v>
      </c>
      <c r="AL42" s="20"/>
      <c r="AM42" s="23"/>
      <c r="AN42" s="22"/>
      <c r="AO42" s="22"/>
      <c r="AP42" s="22"/>
      <c r="AQ42" s="21">
        <f>AVEDEV(AQ31:AQ40)</f>
        <v>157.8507424</v>
      </c>
      <c r="AR42" s="21"/>
      <c r="AT42" s="20" t="s">
        <v>10</v>
      </c>
      <c r="AU42" s="20"/>
      <c r="AV42" s="23"/>
      <c r="AW42" s="22"/>
      <c r="AX42" s="22"/>
      <c r="AY42" s="22"/>
      <c r="AZ42" s="21">
        <f>AVEDEV(AZ31:AZ40)</f>
        <v>243.71630399999998</v>
      </c>
      <c r="BA42" s="21"/>
      <c r="BC42" s="20" t="s">
        <v>10</v>
      </c>
      <c r="BD42" s="20"/>
      <c r="BE42" s="23"/>
      <c r="BF42" s="22"/>
      <c r="BG42" s="22"/>
      <c r="BH42" s="22"/>
      <c r="BI42" s="21">
        <f>AVEDEV(BI31:BI40)</f>
        <v>478.16537599999992</v>
      </c>
      <c r="BJ42" s="21"/>
      <c r="BL42" s="20" t="s">
        <v>10</v>
      </c>
      <c r="BM42" s="20"/>
      <c r="BN42" s="23"/>
      <c r="BO42" s="22"/>
      <c r="BP42" s="22"/>
      <c r="BQ42" s="22"/>
      <c r="BR42" s="21">
        <f>AVEDEV(BR31:BR40)</f>
        <v>1361.9120987654323</v>
      </c>
      <c r="BS42" s="21"/>
      <c r="BU42" s="20" t="s">
        <v>10</v>
      </c>
      <c r="BV42" s="20"/>
      <c r="BW42" s="23"/>
      <c r="BX42" s="22"/>
      <c r="BY42" s="22"/>
      <c r="BZ42" s="22"/>
      <c r="CA42" s="21">
        <f>AVEDEV(CA31:CA40)</f>
        <v>841.39432000000011</v>
      </c>
      <c r="CB42" s="21"/>
      <c r="CD42" s="20" t="s">
        <v>10</v>
      </c>
      <c r="CE42" s="20"/>
      <c r="CF42" s="23"/>
      <c r="CG42" s="22"/>
      <c r="CH42" s="22"/>
      <c r="CI42" s="22"/>
      <c r="CJ42" s="21">
        <f>AVEDEV(CJ31:CJ40)</f>
        <v>1395.6799999999998</v>
      </c>
      <c r="CK42" s="21"/>
      <c r="CM42" s="20" t="s">
        <v>10</v>
      </c>
      <c r="CN42" s="20"/>
      <c r="CO42" s="23"/>
      <c r="CP42" s="22"/>
      <c r="CQ42" s="22"/>
      <c r="CR42" s="22"/>
      <c r="CS42" s="21">
        <f>AVEDEV(CS31:CS40)</f>
        <v>0</v>
      </c>
      <c r="CT42" s="21"/>
      <c r="CV42" s="20" t="s">
        <v>10</v>
      </c>
      <c r="CW42" s="20"/>
      <c r="CX42" s="23"/>
      <c r="CY42" s="22"/>
      <c r="CZ42" s="22"/>
      <c r="DA42" s="22"/>
      <c r="DB42" s="21">
        <f>AVEDEV(DB31:DB40)</f>
        <v>0</v>
      </c>
      <c r="DC42" s="21"/>
      <c r="DE42" s="20" t="s">
        <v>10</v>
      </c>
      <c r="DF42" s="20"/>
      <c r="DG42" s="23"/>
      <c r="DH42" s="22"/>
      <c r="DI42" s="22"/>
      <c r="DJ42" s="22"/>
      <c r="DK42" s="21">
        <f>AVEDEV(DK31:DK40)</f>
        <v>0</v>
      </c>
      <c r="DL42" s="21"/>
      <c r="DN42" s="20" t="s">
        <v>10</v>
      </c>
      <c r="DO42" s="20"/>
      <c r="DP42" s="23"/>
      <c r="DQ42" s="22"/>
      <c r="DR42" s="22"/>
      <c r="DS42" s="22"/>
      <c r="DT42" s="21" t="e">
        <f>AVEDEV(DT31:DT40)</f>
        <v>#NUM!</v>
      </c>
      <c r="DU42" s="21"/>
    </row>
    <row r="45" spans="1:128" x14ac:dyDescent="0.25">
      <c r="A45" s="37" t="s">
        <v>12</v>
      </c>
      <c r="B45" s="37"/>
      <c r="G45" s="5" t="s">
        <v>17</v>
      </c>
      <c r="J45" s="37" t="s">
        <v>12</v>
      </c>
      <c r="K45" s="37"/>
      <c r="P45" s="5" t="s">
        <v>18</v>
      </c>
      <c r="S45" s="37" t="s">
        <v>12</v>
      </c>
      <c r="T45" s="37"/>
      <c r="Y45" s="5" t="s">
        <v>51</v>
      </c>
      <c r="AB45" s="37" t="s">
        <v>12</v>
      </c>
      <c r="AC45" s="37"/>
      <c r="AH45" s="5"/>
      <c r="AK45" s="37" t="s">
        <v>12</v>
      </c>
      <c r="AL45" s="37"/>
      <c r="AQ45" s="5"/>
      <c r="AT45" s="37" t="s">
        <v>12</v>
      </c>
      <c r="AU45" s="37"/>
      <c r="AZ45" s="5"/>
      <c r="BC45" s="37" t="s">
        <v>12</v>
      </c>
      <c r="BD45" s="37"/>
      <c r="BL45" s="37" t="s">
        <v>12</v>
      </c>
      <c r="BM45" s="37"/>
      <c r="BR45" s="5"/>
      <c r="BU45" s="37" t="s">
        <v>12</v>
      </c>
      <c r="BV45" s="37"/>
      <c r="CA45" s="5"/>
      <c r="CD45" s="37" t="s">
        <v>12</v>
      </c>
      <c r="CE45" s="37"/>
      <c r="CJ45" s="5"/>
      <c r="CM45" s="37" t="s">
        <v>12</v>
      </c>
      <c r="CN45" s="37"/>
      <c r="CS45" s="5"/>
      <c r="CV45" s="37" t="s">
        <v>12</v>
      </c>
      <c r="CW45" s="37"/>
      <c r="DB45" s="5"/>
      <c r="DE45" s="37" t="s">
        <v>12</v>
      </c>
      <c r="DF45" s="37"/>
      <c r="DK45" s="5"/>
      <c r="DN45" s="37" t="s">
        <v>12</v>
      </c>
      <c r="DO45" s="37"/>
      <c r="DT45" s="5"/>
    </row>
    <row r="46" spans="1:128" x14ac:dyDescent="0.25">
      <c r="A46" s="38"/>
      <c r="B46" s="38"/>
      <c r="G46" s="7" t="s">
        <v>23</v>
      </c>
      <c r="J46" s="38"/>
      <c r="K46" s="38"/>
      <c r="P46" s="7" t="s">
        <v>43</v>
      </c>
      <c r="S46" s="38"/>
      <c r="T46" s="38"/>
      <c r="Y46" s="7" t="s">
        <v>50</v>
      </c>
      <c r="AB46" s="38"/>
      <c r="AC46" s="38"/>
      <c r="AH46" s="7" t="s">
        <v>58</v>
      </c>
      <c r="AK46" s="38"/>
      <c r="AL46" s="38"/>
      <c r="AQ46" s="7" t="s">
        <v>63</v>
      </c>
      <c r="AT46" s="38"/>
      <c r="AU46" s="38"/>
      <c r="AZ46" s="7" t="s">
        <v>66</v>
      </c>
      <c r="BC46" s="38"/>
      <c r="BD46" s="38"/>
      <c r="BI46" s="7" t="s">
        <v>69</v>
      </c>
      <c r="BL46" s="38"/>
      <c r="BM46" s="38"/>
      <c r="BR46" s="7" t="s">
        <v>71</v>
      </c>
      <c r="BU46" s="38"/>
      <c r="BV46" s="38"/>
      <c r="CA46" s="7" t="s">
        <v>75</v>
      </c>
      <c r="CD46" s="38"/>
      <c r="CE46" s="38"/>
      <c r="CJ46" s="7" t="s">
        <v>77</v>
      </c>
      <c r="CM46" s="38"/>
      <c r="CN46" s="38"/>
      <c r="CS46" s="7" t="s">
        <v>81</v>
      </c>
      <c r="CV46" s="38"/>
      <c r="CW46" s="38"/>
      <c r="DB46" s="7" t="s">
        <v>84</v>
      </c>
      <c r="DE46" s="38"/>
      <c r="DF46" s="38"/>
      <c r="DK46" s="7" t="s">
        <v>86</v>
      </c>
      <c r="DN46" s="38"/>
      <c r="DO46" s="38"/>
      <c r="DT46" s="7" t="s">
        <v>88</v>
      </c>
    </row>
    <row r="47" spans="1:128" x14ac:dyDescent="0.25">
      <c r="A47" s="37" t="s">
        <v>26</v>
      </c>
      <c r="B47" s="37"/>
      <c r="J47" s="37" t="s">
        <v>26</v>
      </c>
      <c r="K47" s="37"/>
      <c r="S47" s="37" t="s">
        <v>26</v>
      </c>
      <c r="T47" s="37"/>
      <c r="AB47" s="37" t="s">
        <v>26</v>
      </c>
      <c r="AC47" s="37"/>
      <c r="AK47" s="37" t="s">
        <v>26</v>
      </c>
      <c r="AL47" s="37"/>
      <c r="AT47" s="37" t="s">
        <v>26</v>
      </c>
      <c r="AU47" s="37"/>
      <c r="BC47" s="37" t="s">
        <v>26</v>
      </c>
      <c r="BD47" s="37"/>
      <c r="BL47" s="37" t="s">
        <v>26</v>
      </c>
      <c r="BM47" s="37"/>
      <c r="BU47" s="37" t="s">
        <v>26</v>
      </c>
      <c r="BV47" s="37"/>
      <c r="CD47" s="37" t="s">
        <v>26</v>
      </c>
      <c r="CE47" s="37"/>
      <c r="CM47" s="37" t="s">
        <v>26</v>
      </c>
      <c r="CN47" s="37"/>
      <c r="CV47" s="37" t="s">
        <v>26</v>
      </c>
      <c r="CW47" s="37"/>
      <c r="DE47" s="37" t="s">
        <v>26</v>
      </c>
      <c r="DF47" s="37"/>
      <c r="DN47" s="37" t="s">
        <v>26</v>
      </c>
      <c r="DO47" s="37"/>
    </row>
    <row r="48" spans="1:128" x14ac:dyDescent="0.25">
      <c r="A48" s="38"/>
      <c r="B48" s="38"/>
      <c r="C48" s="9">
        <v>45810</v>
      </c>
      <c r="J48" s="38"/>
      <c r="K48" s="38"/>
      <c r="L48" s="9">
        <v>45813</v>
      </c>
      <c r="S48" s="38"/>
      <c r="T48" s="38"/>
      <c r="U48" s="9">
        <v>45816</v>
      </c>
      <c r="AB48" s="38"/>
      <c r="AC48" s="38"/>
      <c r="AD48" s="9">
        <v>45819</v>
      </c>
      <c r="AE48" s="9"/>
      <c r="AF48" s="9"/>
      <c r="AG48" s="9"/>
      <c r="AK48" s="38"/>
      <c r="AL48" s="38"/>
      <c r="AM48" s="9">
        <v>45822</v>
      </c>
      <c r="AT48" s="38"/>
      <c r="AU48" s="38"/>
      <c r="AV48" s="9">
        <v>45825</v>
      </c>
      <c r="BC48" s="38"/>
      <c r="BD48" s="38"/>
      <c r="BE48" s="9">
        <v>45828</v>
      </c>
      <c r="BF48" s="9"/>
      <c r="BG48" s="9"/>
      <c r="BH48" s="9"/>
      <c r="BL48" s="38"/>
      <c r="BM48" s="38"/>
      <c r="BN48" s="9">
        <v>45832</v>
      </c>
      <c r="BO48" s="9"/>
      <c r="BP48" s="9"/>
      <c r="BQ48" s="9"/>
      <c r="BU48" s="38"/>
      <c r="BV48" s="38"/>
      <c r="BW48" s="9">
        <v>45836</v>
      </c>
      <c r="CD48" s="38"/>
      <c r="CE48" s="38"/>
      <c r="CF48" s="9">
        <v>45839</v>
      </c>
      <c r="CM48" s="38"/>
      <c r="CN48" s="38"/>
      <c r="CO48" s="9">
        <v>45844</v>
      </c>
      <c r="CV48" s="38"/>
      <c r="CW48" s="38"/>
      <c r="CX48" s="9">
        <v>45849</v>
      </c>
      <c r="DE48" s="38"/>
      <c r="DF48" s="38"/>
      <c r="DG48" s="9">
        <v>45855</v>
      </c>
      <c r="DN48" s="38"/>
      <c r="DO48" s="38"/>
      <c r="DP48" s="9">
        <v>45859</v>
      </c>
    </row>
    <row r="49" spans="1:128" x14ac:dyDescent="0.25">
      <c r="A49" s="39"/>
      <c r="B49" s="39"/>
      <c r="C49" s="11"/>
      <c r="D49" s="11" t="s">
        <v>3</v>
      </c>
      <c r="E49" s="11" t="s">
        <v>4</v>
      </c>
      <c r="F49" s="11" t="s">
        <v>5</v>
      </c>
      <c r="G49" s="40" t="s">
        <v>6</v>
      </c>
      <c r="H49" s="41" t="s">
        <v>7</v>
      </c>
      <c r="J49" s="39"/>
      <c r="K49" s="39"/>
      <c r="L49" s="11"/>
      <c r="M49" s="11" t="s">
        <v>3</v>
      </c>
      <c r="N49" s="11" t="s">
        <v>4</v>
      </c>
      <c r="O49" s="11" t="s">
        <v>5</v>
      </c>
      <c r="P49" s="40" t="s">
        <v>6</v>
      </c>
      <c r="Q49" s="41" t="s">
        <v>7</v>
      </c>
      <c r="S49" s="39"/>
      <c r="T49" s="39"/>
      <c r="U49" s="11"/>
      <c r="V49" s="11" t="s">
        <v>3</v>
      </c>
      <c r="W49" s="11" t="s">
        <v>4</v>
      </c>
      <c r="X49" s="11" t="s">
        <v>5</v>
      </c>
      <c r="Y49" s="40" t="s">
        <v>6</v>
      </c>
      <c r="Z49" s="41" t="s">
        <v>7</v>
      </c>
      <c r="AB49" s="39"/>
      <c r="AC49" s="39"/>
      <c r="AD49" s="11"/>
      <c r="AE49" s="11" t="s">
        <v>3</v>
      </c>
      <c r="AF49" s="11" t="s">
        <v>4</v>
      </c>
      <c r="AG49" s="11" t="s">
        <v>5</v>
      </c>
      <c r="AH49" s="40" t="s">
        <v>6</v>
      </c>
      <c r="AI49" s="41" t="s">
        <v>7</v>
      </c>
      <c r="AK49" s="39"/>
      <c r="AL49" s="39"/>
      <c r="AM49" s="11"/>
      <c r="AN49" s="11" t="s">
        <v>3</v>
      </c>
      <c r="AO49" s="11" t="s">
        <v>4</v>
      </c>
      <c r="AP49" s="11" t="s">
        <v>5</v>
      </c>
      <c r="AQ49" s="40" t="s">
        <v>6</v>
      </c>
      <c r="AR49" s="41" t="s">
        <v>7</v>
      </c>
      <c r="AT49" s="39"/>
      <c r="AU49" s="39"/>
      <c r="AV49" s="11"/>
      <c r="AW49" s="11" t="s">
        <v>3</v>
      </c>
      <c r="AX49" s="11" t="s">
        <v>4</v>
      </c>
      <c r="AY49" s="11" t="s">
        <v>5</v>
      </c>
      <c r="AZ49" s="40" t="s">
        <v>6</v>
      </c>
      <c r="BA49" s="41" t="s">
        <v>7</v>
      </c>
      <c r="BC49" s="39"/>
      <c r="BD49" s="39"/>
      <c r="BE49" s="11"/>
      <c r="BF49" s="11" t="s">
        <v>3</v>
      </c>
      <c r="BG49" s="11" t="s">
        <v>4</v>
      </c>
      <c r="BH49" s="11" t="s">
        <v>5</v>
      </c>
      <c r="BI49" s="40" t="s">
        <v>6</v>
      </c>
      <c r="BJ49" s="41" t="s">
        <v>7</v>
      </c>
      <c r="BL49" s="39"/>
      <c r="BM49" s="39"/>
      <c r="BN49" s="11"/>
      <c r="BO49" s="11" t="s">
        <v>3</v>
      </c>
      <c r="BP49" s="11" t="s">
        <v>4</v>
      </c>
      <c r="BQ49" s="11" t="s">
        <v>5</v>
      </c>
      <c r="BR49" s="40" t="s">
        <v>6</v>
      </c>
      <c r="BS49" s="41"/>
      <c r="BU49" s="39"/>
      <c r="BV49" s="39"/>
      <c r="BW49" s="11"/>
      <c r="BX49" s="11" t="s">
        <v>3</v>
      </c>
      <c r="BY49" s="11" t="s">
        <v>4</v>
      </c>
      <c r="BZ49" s="11" t="s">
        <v>5</v>
      </c>
      <c r="CA49" s="40" t="s">
        <v>6</v>
      </c>
      <c r="CB49" s="41"/>
      <c r="CD49" s="39"/>
      <c r="CE49" s="39"/>
      <c r="CF49" s="11"/>
      <c r="CG49" s="11" t="s">
        <v>3</v>
      </c>
      <c r="CH49" s="11" t="s">
        <v>4</v>
      </c>
      <c r="CI49" s="11" t="s">
        <v>5</v>
      </c>
      <c r="CJ49" s="40" t="s">
        <v>6</v>
      </c>
      <c r="CK49" s="41"/>
      <c r="CM49" s="39"/>
      <c r="CN49" s="39"/>
      <c r="CO49" s="11"/>
      <c r="CP49" s="11" t="s">
        <v>3</v>
      </c>
      <c r="CQ49" s="11" t="s">
        <v>4</v>
      </c>
      <c r="CR49" s="11" t="s">
        <v>5</v>
      </c>
      <c r="CS49" s="40" t="s">
        <v>6</v>
      </c>
      <c r="CT49" s="41"/>
      <c r="CV49" s="39"/>
      <c r="CW49" s="39"/>
      <c r="CX49" s="11"/>
      <c r="CY49" s="11" t="s">
        <v>3</v>
      </c>
      <c r="CZ49" s="11" t="s">
        <v>4</v>
      </c>
      <c r="DA49" s="11" t="s">
        <v>5</v>
      </c>
      <c r="DB49" s="40" t="s">
        <v>6</v>
      </c>
      <c r="DC49" s="41"/>
      <c r="DE49" s="39"/>
      <c r="DF49" s="39"/>
      <c r="DG49" s="11"/>
      <c r="DH49" s="11" t="s">
        <v>3</v>
      </c>
      <c r="DI49" s="11" t="s">
        <v>4</v>
      </c>
      <c r="DJ49" s="11" t="s">
        <v>5</v>
      </c>
      <c r="DK49" s="40" t="s">
        <v>6</v>
      </c>
      <c r="DL49" s="41"/>
      <c r="DN49" s="39"/>
      <c r="DO49" s="39"/>
      <c r="DP49" s="11"/>
      <c r="DQ49" s="11" t="s">
        <v>3</v>
      </c>
      <c r="DR49" s="11" t="s">
        <v>4</v>
      </c>
      <c r="DS49" s="11" t="s">
        <v>5</v>
      </c>
      <c r="DT49" s="40" t="s">
        <v>6</v>
      </c>
      <c r="DU49" s="41"/>
    </row>
    <row r="50" spans="1:128" x14ac:dyDescent="0.25">
      <c r="A50" s="39">
        <v>1</v>
      </c>
      <c r="B50" s="39">
        <v>1</v>
      </c>
      <c r="C50" s="42"/>
      <c r="D50" s="15">
        <v>4</v>
      </c>
      <c r="E50" s="15">
        <v>4</v>
      </c>
      <c r="F50" s="15">
        <v>3</v>
      </c>
      <c r="G50" s="43">
        <f>D50*E50*F50*0.52</f>
        <v>24.96</v>
      </c>
      <c r="H50" s="44"/>
      <c r="J50" s="39">
        <v>1</v>
      </c>
      <c r="K50" s="39">
        <v>1</v>
      </c>
      <c r="L50" s="42"/>
      <c r="M50" s="15">
        <v>3</v>
      </c>
      <c r="N50" s="15">
        <v>3</v>
      </c>
      <c r="O50" s="15">
        <v>2</v>
      </c>
      <c r="P50" s="43">
        <f>M50*N50*O50*0.52</f>
        <v>9.36</v>
      </c>
      <c r="Q50" s="44"/>
      <c r="S50" s="39">
        <v>1</v>
      </c>
      <c r="T50" s="39">
        <v>1</v>
      </c>
      <c r="U50" s="42"/>
      <c r="V50" s="15">
        <v>5</v>
      </c>
      <c r="W50" s="15">
        <v>5</v>
      </c>
      <c r="X50" s="15">
        <v>3</v>
      </c>
      <c r="Y50" s="43">
        <f>V50*W50*X50*0.52</f>
        <v>39</v>
      </c>
      <c r="Z50" s="44"/>
      <c r="AB50" s="39">
        <v>1</v>
      </c>
      <c r="AC50" s="39">
        <v>1</v>
      </c>
      <c r="AD50" s="42"/>
      <c r="AE50" s="15">
        <v>3</v>
      </c>
      <c r="AF50" s="15">
        <v>3</v>
      </c>
      <c r="AG50" s="15">
        <v>3</v>
      </c>
      <c r="AH50" s="43">
        <f>AE50*AF50*AG50*0.52</f>
        <v>14.040000000000001</v>
      </c>
      <c r="AI50" s="44"/>
      <c r="AK50" s="39">
        <v>1</v>
      </c>
      <c r="AL50" s="39">
        <v>1</v>
      </c>
      <c r="AM50" s="42"/>
      <c r="AN50" s="15">
        <v>8</v>
      </c>
      <c r="AO50" s="15">
        <v>7.6</v>
      </c>
      <c r="AP50" s="15">
        <v>4.5999999999999996</v>
      </c>
      <c r="AQ50" s="43">
        <f>AN50*AO50*AP50*0.52</f>
        <v>145.43359999999998</v>
      </c>
      <c r="AR50" s="44"/>
      <c r="AT50" s="39">
        <v>1</v>
      </c>
      <c r="AU50" s="39">
        <v>1</v>
      </c>
      <c r="AV50" s="42"/>
      <c r="AW50" s="15">
        <v>7</v>
      </c>
      <c r="AX50" s="15">
        <v>7</v>
      </c>
      <c r="AY50" s="15">
        <v>4</v>
      </c>
      <c r="AZ50" s="43">
        <f>AW50*AX50*AY50*0.52</f>
        <v>101.92</v>
      </c>
      <c r="BA50" s="44"/>
      <c r="BC50" s="39">
        <v>1</v>
      </c>
      <c r="BD50" s="39">
        <v>1</v>
      </c>
      <c r="BE50" s="42"/>
      <c r="BF50" s="15">
        <v>7</v>
      </c>
      <c r="BG50" s="15">
        <v>7</v>
      </c>
      <c r="BH50" s="15">
        <v>5</v>
      </c>
      <c r="BI50" s="43">
        <f>BF50*BG50*BH50*0.52</f>
        <v>127.4</v>
      </c>
      <c r="BJ50" s="44"/>
      <c r="BL50" s="39">
        <v>1</v>
      </c>
      <c r="BM50" s="39">
        <v>1</v>
      </c>
      <c r="BN50" s="42"/>
      <c r="BO50" s="15">
        <v>6</v>
      </c>
      <c r="BP50" s="15">
        <v>6</v>
      </c>
      <c r="BQ50" s="15">
        <v>5</v>
      </c>
      <c r="BR50" s="43">
        <f>BO50*BP50*BQ50*0.52</f>
        <v>93.600000000000009</v>
      </c>
      <c r="BS50" s="44"/>
      <c r="BU50" s="39">
        <v>1</v>
      </c>
      <c r="BV50" s="39">
        <v>1</v>
      </c>
      <c r="BW50" s="42"/>
      <c r="BX50" s="15">
        <v>6</v>
      </c>
      <c r="BY50" s="15">
        <v>6</v>
      </c>
      <c r="BZ50" s="15">
        <v>5</v>
      </c>
      <c r="CA50" s="43">
        <f>BX50*BY50*BZ50*0.52</f>
        <v>93.600000000000009</v>
      </c>
      <c r="CB50" s="44"/>
      <c r="CD50" s="39">
        <v>1</v>
      </c>
      <c r="CE50" s="39">
        <v>1</v>
      </c>
      <c r="CF50" s="42"/>
      <c r="CG50" s="15">
        <v>7</v>
      </c>
      <c r="CH50" s="15">
        <v>7</v>
      </c>
      <c r="CI50" s="15">
        <v>5</v>
      </c>
      <c r="CJ50" s="43">
        <f>CG50*CH50*CI50*0.52</f>
        <v>127.4</v>
      </c>
      <c r="CK50" s="44"/>
      <c r="CM50" s="39">
        <v>1</v>
      </c>
      <c r="CN50" s="39">
        <v>1</v>
      </c>
      <c r="CO50" s="42"/>
      <c r="CP50" s="15">
        <v>12</v>
      </c>
      <c r="CQ50" s="15">
        <v>12</v>
      </c>
      <c r="CR50" s="15">
        <v>6.4</v>
      </c>
      <c r="CS50" s="43">
        <f>CP50*CQ50*CR50*0.52</f>
        <v>479.23200000000003</v>
      </c>
      <c r="CT50" s="44"/>
      <c r="CV50" s="39">
        <v>1</v>
      </c>
      <c r="CW50" s="39">
        <v>1</v>
      </c>
      <c r="CX50" s="42"/>
      <c r="CY50" s="15">
        <v>17.100000000000001</v>
      </c>
      <c r="CZ50" s="15">
        <v>14.7</v>
      </c>
      <c r="DA50" s="15">
        <v>9.8000000000000007</v>
      </c>
      <c r="DB50" s="43">
        <f>CY50*CZ50*DA50*0.52</f>
        <v>1280.9815200000003</v>
      </c>
      <c r="DC50" s="44"/>
      <c r="DE50" s="39">
        <v>1</v>
      </c>
      <c r="DF50" s="39">
        <v>1</v>
      </c>
      <c r="DG50" s="42"/>
      <c r="DH50" s="15">
        <v>20.100000000000001</v>
      </c>
      <c r="DI50" s="15">
        <v>17.5</v>
      </c>
      <c r="DJ50" s="15">
        <v>9.4</v>
      </c>
      <c r="DK50" s="43">
        <f>DH50*DI50*DJ50*0.52</f>
        <v>1719.3540000000003</v>
      </c>
      <c r="DL50" s="44"/>
      <c r="DN50" s="39">
        <v>1</v>
      </c>
      <c r="DO50" s="39">
        <v>1</v>
      </c>
      <c r="DP50" s="42"/>
      <c r="DQ50" s="15">
        <v>25</v>
      </c>
      <c r="DR50" s="15">
        <v>18.100000000000001</v>
      </c>
      <c r="DS50" s="15">
        <v>11</v>
      </c>
      <c r="DT50" s="76">
        <f>DQ50*DR50*DS50*0.52</f>
        <v>2588.3000000000006</v>
      </c>
      <c r="DU50" s="44" t="s">
        <v>89</v>
      </c>
      <c r="DX50">
        <v>36</v>
      </c>
    </row>
    <row r="51" spans="1:128" x14ac:dyDescent="0.25">
      <c r="A51" s="39">
        <v>2</v>
      </c>
      <c r="B51" s="39">
        <v>2</v>
      </c>
      <c r="C51" s="42"/>
      <c r="D51" s="15">
        <v>5</v>
      </c>
      <c r="E51" s="15">
        <v>3</v>
      </c>
      <c r="F51" s="15">
        <v>3</v>
      </c>
      <c r="G51" s="43">
        <f t="shared" ref="G51:G58" si="27">D51*E51*F51*0.52</f>
        <v>23.400000000000002</v>
      </c>
      <c r="H51" s="44"/>
      <c r="J51" s="39">
        <v>2</v>
      </c>
      <c r="K51" s="39">
        <v>2</v>
      </c>
      <c r="L51" s="42"/>
      <c r="M51" s="15">
        <v>4.5</v>
      </c>
      <c r="N51" s="15">
        <v>3</v>
      </c>
      <c r="O51" s="15">
        <v>3</v>
      </c>
      <c r="P51" s="43">
        <f t="shared" ref="P51:P58" si="28">M51*N51*O51*0.52</f>
        <v>21.060000000000002</v>
      </c>
      <c r="Q51" s="44"/>
      <c r="S51" s="39">
        <v>2</v>
      </c>
      <c r="T51" s="39">
        <v>2</v>
      </c>
      <c r="U51" s="42"/>
      <c r="V51" s="15">
        <v>6</v>
      </c>
      <c r="W51" s="15">
        <v>6</v>
      </c>
      <c r="X51" s="15">
        <v>2.9</v>
      </c>
      <c r="Y51" s="43">
        <f t="shared" ref="Y51:Y58" si="29">V51*W51*X51*0.52</f>
        <v>54.287999999999997</v>
      </c>
      <c r="Z51" s="44"/>
      <c r="AB51" s="39">
        <v>2</v>
      </c>
      <c r="AC51" s="39">
        <v>2</v>
      </c>
      <c r="AD51" s="42"/>
      <c r="AE51" s="15">
        <v>5.8</v>
      </c>
      <c r="AF51" s="15">
        <v>7.5</v>
      </c>
      <c r="AG51" s="15">
        <v>3.5</v>
      </c>
      <c r="AH51" s="43">
        <f t="shared" ref="AH51:AH58" si="30">AE51*AF51*AG51*0.52</f>
        <v>79.17</v>
      </c>
      <c r="AI51" s="44"/>
      <c r="AK51" s="39">
        <v>2</v>
      </c>
      <c r="AL51" s="39">
        <v>2</v>
      </c>
      <c r="AM51" s="42" t="s">
        <v>40</v>
      </c>
      <c r="AN51" s="15">
        <v>5</v>
      </c>
      <c r="AO51" s="15">
        <v>5</v>
      </c>
      <c r="AP51" s="15">
        <v>2</v>
      </c>
      <c r="AQ51" s="43">
        <f t="shared" ref="AQ51:AQ58" si="31">AN51*AO51*AP51*0.52</f>
        <v>26</v>
      </c>
      <c r="AR51" s="44"/>
      <c r="AT51" s="39">
        <v>2</v>
      </c>
      <c r="AU51" s="39">
        <v>2</v>
      </c>
      <c r="AV51" s="42"/>
      <c r="AW51" s="15" t="s">
        <v>49</v>
      </c>
      <c r="AX51" s="15"/>
      <c r="AY51" s="15"/>
      <c r="AZ51" s="75">
        <v>0</v>
      </c>
      <c r="BA51" s="44"/>
      <c r="BC51" s="39">
        <v>2</v>
      </c>
      <c r="BD51" s="39">
        <v>2</v>
      </c>
      <c r="BE51" s="42"/>
      <c r="BF51" s="15" t="s">
        <v>49</v>
      </c>
      <c r="BG51" s="15"/>
      <c r="BH51" s="15"/>
      <c r="BI51" s="43">
        <v>0</v>
      </c>
      <c r="BJ51" s="44"/>
      <c r="BL51" s="39">
        <v>2</v>
      </c>
      <c r="BM51" s="39">
        <v>2</v>
      </c>
      <c r="BN51" s="42"/>
      <c r="BO51" s="15" t="s">
        <v>49</v>
      </c>
      <c r="BP51" s="15"/>
      <c r="BQ51" s="15"/>
      <c r="BR51" s="75">
        <v>0</v>
      </c>
      <c r="BS51" s="44"/>
      <c r="BU51" s="39">
        <v>2</v>
      </c>
      <c r="BV51" s="39">
        <v>2</v>
      </c>
      <c r="BW51" s="42"/>
      <c r="BX51" s="15" t="s">
        <v>49</v>
      </c>
      <c r="BY51" s="15"/>
      <c r="BZ51" s="15"/>
      <c r="CA51" s="75">
        <v>0</v>
      </c>
      <c r="CB51" s="44"/>
      <c r="CD51" s="39">
        <v>2</v>
      </c>
      <c r="CE51" s="39">
        <v>2</v>
      </c>
      <c r="CF51" s="42"/>
      <c r="CG51" s="15" t="s">
        <v>49</v>
      </c>
      <c r="CH51" s="15"/>
      <c r="CI51" s="15"/>
      <c r="CJ51" s="75">
        <v>0</v>
      </c>
      <c r="CK51" s="44"/>
      <c r="CM51" s="39">
        <v>2</v>
      </c>
      <c r="CN51" s="39">
        <v>2</v>
      </c>
      <c r="CO51" s="42"/>
      <c r="CP51" s="15" t="s">
        <v>49</v>
      </c>
      <c r="CQ51" s="15"/>
      <c r="CR51" s="15"/>
      <c r="CS51" s="75">
        <v>0</v>
      </c>
      <c r="CT51" s="44"/>
      <c r="CV51" s="39">
        <v>2</v>
      </c>
      <c r="CW51" s="39">
        <v>2</v>
      </c>
      <c r="CX51" s="42"/>
      <c r="CY51" s="15" t="s">
        <v>49</v>
      </c>
      <c r="CZ51" s="15"/>
      <c r="DA51" s="15"/>
      <c r="DB51" s="75">
        <v>0</v>
      </c>
      <c r="DC51" s="44"/>
      <c r="DE51" s="39">
        <v>2</v>
      </c>
      <c r="DF51" s="39">
        <v>2</v>
      </c>
      <c r="DG51" s="42"/>
      <c r="DH51" s="15" t="s">
        <v>49</v>
      </c>
      <c r="DI51" s="15"/>
      <c r="DJ51" s="15"/>
      <c r="DK51" s="75">
        <v>0</v>
      </c>
      <c r="DL51" s="44"/>
      <c r="DN51" s="39">
        <v>2</v>
      </c>
      <c r="DO51" s="39">
        <v>2</v>
      </c>
      <c r="DP51" s="42"/>
      <c r="DQ51" s="15" t="s">
        <v>49</v>
      </c>
      <c r="DR51" s="15"/>
      <c r="DS51" s="15"/>
      <c r="DT51" s="75">
        <v>0</v>
      </c>
      <c r="DU51" s="44"/>
      <c r="DX51">
        <v>36</v>
      </c>
    </row>
    <row r="52" spans="1:128" x14ac:dyDescent="0.25">
      <c r="A52" s="39">
        <v>3</v>
      </c>
      <c r="B52" s="39">
        <v>3</v>
      </c>
      <c r="C52" s="42"/>
      <c r="D52" s="15">
        <v>3</v>
      </c>
      <c r="E52" s="15">
        <v>3</v>
      </c>
      <c r="F52" s="15">
        <v>3</v>
      </c>
      <c r="G52" s="43">
        <f t="shared" si="27"/>
        <v>14.040000000000001</v>
      </c>
      <c r="H52" s="44"/>
      <c r="J52" s="39">
        <v>3</v>
      </c>
      <c r="K52" s="39">
        <v>3</v>
      </c>
      <c r="L52" s="42"/>
      <c r="M52" s="15">
        <v>4</v>
      </c>
      <c r="N52" s="15">
        <v>4</v>
      </c>
      <c r="O52" s="15">
        <v>2.5</v>
      </c>
      <c r="P52" s="43">
        <f t="shared" si="28"/>
        <v>20.8</v>
      </c>
      <c r="Q52" s="44"/>
      <c r="S52" s="39">
        <v>3</v>
      </c>
      <c r="T52" s="39">
        <v>3</v>
      </c>
      <c r="U52" s="42"/>
      <c r="V52" s="15">
        <v>5</v>
      </c>
      <c r="W52" s="15">
        <v>6</v>
      </c>
      <c r="X52" s="15">
        <v>3</v>
      </c>
      <c r="Y52" s="43">
        <f t="shared" si="29"/>
        <v>46.800000000000004</v>
      </c>
      <c r="Z52" s="44"/>
      <c r="AB52" s="39">
        <v>3</v>
      </c>
      <c r="AC52" s="39">
        <v>3</v>
      </c>
      <c r="AD52" s="42"/>
      <c r="AE52" s="15">
        <v>5</v>
      </c>
      <c r="AF52" s="15">
        <v>5</v>
      </c>
      <c r="AG52" s="15">
        <v>4</v>
      </c>
      <c r="AH52" s="43">
        <f t="shared" si="30"/>
        <v>52</v>
      </c>
      <c r="AI52" s="44"/>
      <c r="AK52" s="39">
        <v>3</v>
      </c>
      <c r="AL52" s="39">
        <v>3</v>
      </c>
      <c r="AM52" s="42"/>
      <c r="AN52" s="15">
        <v>6</v>
      </c>
      <c r="AO52" s="15">
        <v>6</v>
      </c>
      <c r="AP52" s="15">
        <v>5</v>
      </c>
      <c r="AQ52" s="43">
        <f t="shared" si="31"/>
        <v>93.600000000000009</v>
      </c>
      <c r="AR52" s="44"/>
      <c r="AT52" s="39">
        <v>3</v>
      </c>
      <c r="AU52" s="39">
        <v>3</v>
      </c>
      <c r="AV52" s="42"/>
      <c r="AW52" s="15">
        <v>8</v>
      </c>
      <c r="AX52" s="15">
        <v>8</v>
      </c>
      <c r="AY52" s="15">
        <v>5.7</v>
      </c>
      <c r="AZ52" s="43">
        <f t="shared" ref="AZ52:AZ58" si="32">AW52*AX52*AY52*0.52</f>
        <v>189.69600000000003</v>
      </c>
      <c r="BA52" s="44"/>
      <c r="BC52" s="39">
        <v>3</v>
      </c>
      <c r="BD52" s="39">
        <v>3</v>
      </c>
      <c r="BE52" s="42"/>
      <c r="BF52" s="15">
        <v>8.5</v>
      </c>
      <c r="BG52" s="15">
        <v>9.1</v>
      </c>
      <c r="BH52" s="15">
        <v>6.8</v>
      </c>
      <c r="BI52" s="43">
        <f t="shared" ref="BI52:BI57" si="33">BF52*BG52*BH52*0.52</f>
        <v>273.50959999999998</v>
      </c>
      <c r="BJ52" s="44"/>
      <c r="BL52" s="39">
        <v>3</v>
      </c>
      <c r="BM52" s="39">
        <v>3</v>
      </c>
      <c r="BN52" s="42"/>
      <c r="BO52" s="15">
        <v>12</v>
      </c>
      <c r="BP52" s="15">
        <v>12</v>
      </c>
      <c r="BQ52" s="15">
        <v>8</v>
      </c>
      <c r="BR52" s="43">
        <f t="shared" ref="BR52:BR59" si="34">BO52*BP52*BQ52*0.52</f>
        <v>599.04</v>
      </c>
      <c r="BS52" s="44"/>
      <c r="BU52" s="39">
        <v>3</v>
      </c>
      <c r="BV52" s="39">
        <v>3</v>
      </c>
      <c r="BW52" s="42"/>
      <c r="BX52" s="15">
        <v>15</v>
      </c>
      <c r="BY52" s="15">
        <v>15</v>
      </c>
      <c r="BZ52" s="15">
        <v>10</v>
      </c>
      <c r="CA52" s="43">
        <f t="shared" ref="CA52:CA58" si="35">BX52*BY52*BZ52*0.52</f>
        <v>1170</v>
      </c>
      <c r="CB52" s="44"/>
      <c r="CD52" s="39">
        <v>3</v>
      </c>
      <c r="CE52" s="39">
        <v>3</v>
      </c>
      <c r="CF52" s="42"/>
      <c r="CG52" s="15">
        <v>19</v>
      </c>
      <c r="CH52" s="15">
        <v>20</v>
      </c>
      <c r="CI52" s="15">
        <v>13</v>
      </c>
      <c r="CJ52" s="82">
        <f t="shared" ref="CJ52:CJ58" si="36">CG52*CH52*CI52*0.52</f>
        <v>2568.8000000000002</v>
      </c>
      <c r="CK52" s="44" t="s">
        <v>78</v>
      </c>
      <c r="CM52" s="39">
        <v>3</v>
      </c>
      <c r="CN52" s="39">
        <v>3</v>
      </c>
      <c r="CO52" s="42"/>
      <c r="CP52" s="83"/>
      <c r="CQ52" s="83"/>
      <c r="CR52" s="83"/>
      <c r="CS52" s="82"/>
      <c r="CT52" s="44" t="s">
        <v>78</v>
      </c>
      <c r="CV52" s="39">
        <v>3</v>
      </c>
      <c r="CW52" s="39">
        <v>3</v>
      </c>
      <c r="CX52" s="42"/>
      <c r="CY52" s="83"/>
      <c r="CZ52" s="83"/>
      <c r="DA52" s="83"/>
      <c r="DB52" s="82"/>
      <c r="DC52" s="44" t="s">
        <v>78</v>
      </c>
      <c r="DE52" s="39">
        <v>3</v>
      </c>
      <c r="DF52" s="39">
        <v>3</v>
      </c>
      <c r="DG52" s="42"/>
      <c r="DH52" s="83"/>
      <c r="DI52" s="83"/>
      <c r="DJ52" s="83"/>
      <c r="DK52" s="82"/>
      <c r="DL52" s="44" t="s">
        <v>78</v>
      </c>
      <c r="DN52" s="39">
        <v>3</v>
      </c>
      <c r="DO52" s="39">
        <v>3</v>
      </c>
      <c r="DP52" s="42"/>
      <c r="DQ52" s="83"/>
      <c r="DR52" s="83"/>
      <c r="DS52" s="83"/>
      <c r="DT52" s="82"/>
      <c r="DU52" s="44" t="s">
        <v>78</v>
      </c>
      <c r="DX52">
        <v>41</v>
      </c>
    </row>
    <row r="53" spans="1:128" x14ac:dyDescent="0.25">
      <c r="A53" s="39">
        <v>4</v>
      </c>
      <c r="B53" s="39">
        <v>4</v>
      </c>
      <c r="C53" s="42"/>
      <c r="D53" s="15">
        <v>7</v>
      </c>
      <c r="E53" s="15">
        <v>2</v>
      </c>
      <c r="F53" s="15">
        <v>2</v>
      </c>
      <c r="G53" s="43">
        <f t="shared" si="27"/>
        <v>14.56</v>
      </c>
      <c r="H53" s="44"/>
      <c r="J53" s="39">
        <v>4</v>
      </c>
      <c r="K53" s="39">
        <v>4</v>
      </c>
      <c r="L53" s="42"/>
      <c r="M53" s="15">
        <v>5</v>
      </c>
      <c r="N53" s="15">
        <v>3</v>
      </c>
      <c r="O53" s="15">
        <v>2</v>
      </c>
      <c r="P53" s="43">
        <f t="shared" si="28"/>
        <v>15.600000000000001</v>
      </c>
      <c r="Q53" s="44"/>
      <c r="S53" s="39">
        <v>4</v>
      </c>
      <c r="T53" s="39">
        <v>4</v>
      </c>
      <c r="U53" s="42"/>
      <c r="V53" s="15">
        <v>7</v>
      </c>
      <c r="W53" s="15">
        <v>7</v>
      </c>
      <c r="X53" s="15">
        <v>2</v>
      </c>
      <c r="Y53" s="43">
        <f t="shared" si="29"/>
        <v>50.96</v>
      </c>
      <c r="Z53" s="44"/>
      <c r="AB53" s="39">
        <v>4</v>
      </c>
      <c r="AC53" s="39">
        <v>4</v>
      </c>
      <c r="AD53" s="42"/>
      <c r="AE53" s="15">
        <v>5</v>
      </c>
      <c r="AF53" s="15">
        <v>5</v>
      </c>
      <c r="AG53" s="15">
        <v>2</v>
      </c>
      <c r="AH53" s="43">
        <f t="shared" si="30"/>
        <v>26</v>
      </c>
      <c r="AI53" s="44"/>
      <c r="AK53" s="39">
        <v>4</v>
      </c>
      <c r="AL53" s="39">
        <v>4</v>
      </c>
      <c r="AM53" s="42"/>
      <c r="AN53" s="15">
        <v>5</v>
      </c>
      <c r="AO53" s="15">
        <v>5</v>
      </c>
      <c r="AP53" s="15">
        <v>2</v>
      </c>
      <c r="AQ53" s="43">
        <f t="shared" si="31"/>
        <v>26</v>
      </c>
      <c r="AR53" s="44"/>
      <c r="AT53" s="39">
        <v>4</v>
      </c>
      <c r="AU53" s="39">
        <v>4</v>
      </c>
      <c r="AV53" s="42"/>
      <c r="AW53" s="15" t="s">
        <v>49</v>
      </c>
      <c r="AX53" s="15"/>
      <c r="AY53" s="15"/>
      <c r="AZ53" s="43">
        <v>0</v>
      </c>
      <c r="BA53" s="44"/>
      <c r="BC53" s="39">
        <v>4</v>
      </c>
      <c r="BD53" s="39">
        <v>4</v>
      </c>
      <c r="BE53" s="42"/>
      <c r="BF53" s="15">
        <v>3</v>
      </c>
      <c r="BG53" s="15">
        <v>3</v>
      </c>
      <c r="BH53" s="15">
        <v>3</v>
      </c>
      <c r="BI53" s="43">
        <f t="shared" si="33"/>
        <v>14.040000000000001</v>
      </c>
      <c r="BJ53" s="44"/>
      <c r="BL53" s="39">
        <v>4</v>
      </c>
      <c r="BM53" s="39">
        <v>4</v>
      </c>
      <c r="BN53" s="42"/>
      <c r="BO53" s="15" t="s">
        <v>49</v>
      </c>
      <c r="BP53" s="15"/>
      <c r="BQ53" s="15"/>
      <c r="BR53" s="75">
        <v>0</v>
      </c>
      <c r="BS53" s="44"/>
      <c r="BU53" s="39">
        <v>4</v>
      </c>
      <c r="BV53" s="39">
        <v>4</v>
      </c>
      <c r="BW53" s="42"/>
      <c r="BX53" s="15" t="s">
        <v>49</v>
      </c>
      <c r="BY53" s="15"/>
      <c r="BZ53" s="15"/>
      <c r="CA53" s="75">
        <v>0</v>
      </c>
      <c r="CB53" s="44"/>
      <c r="CD53" s="39">
        <v>4</v>
      </c>
      <c r="CE53" s="39">
        <v>4</v>
      </c>
      <c r="CF53" s="42"/>
      <c r="CG53" s="15" t="s">
        <v>49</v>
      </c>
      <c r="CH53" s="15"/>
      <c r="CI53" s="15"/>
      <c r="CJ53" s="75">
        <v>0</v>
      </c>
      <c r="CK53" s="44"/>
      <c r="CM53" s="39">
        <v>4</v>
      </c>
      <c r="CN53" s="39">
        <v>4</v>
      </c>
      <c r="CO53" s="42"/>
      <c r="CP53" s="15">
        <v>5</v>
      </c>
      <c r="CQ53" s="15">
        <v>5</v>
      </c>
      <c r="CR53" s="15">
        <v>3</v>
      </c>
      <c r="CS53" s="43">
        <f t="shared" ref="CS53:CS57" si="37">CP53*CQ53*CR53*0.52</f>
        <v>39</v>
      </c>
      <c r="CT53" s="44"/>
      <c r="CV53" s="39">
        <v>4</v>
      </c>
      <c r="CW53" s="39">
        <v>4</v>
      </c>
      <c r="CX53" s="42"/>
      <c r="CY53" s="15">
        <v>11.5</v>
      </c>
      <c r="CZ53" s="15">
        <v>5.6</v>
      </c>
      <c r="DA53" s="15">
        <v>4.0999999999999996</v>
      </c>
      <c r="DB53" s="43">
        <f t="shared" ref="DB53:DB57" si="38">CY53*CZ53*DA53*0.52</f>
        <v>137.30079999999998</v>
      </c>
      <c r="DC53" s="44"/>
      <c r="DE53" s="39">
        <v>4</v>
      </c>
      <c r="DF53" s="39">
        <v>4</v>
      </c>
      <c r="DG53" s="42"/>
      <c r="DH53" s="15">
        <v>13</v>
      </c>
      <c r="DI53" s="15">
        <v>8.4</v>
      </c>
      <c r="DJ53" s="15">
        <v>6.6</v>
      </c>
      <c r="DK53" s="43">
        <f t="shared" ref="DK53" si="39">DH53*DI53*DJ53*0.52</f>
        <v>374.77440000000001</v>
      </c>
      <c r="DL53" s="44"/>
      <c r="DN53" s="39">
        <v>4</v>
      </c>
      <c r="DO53" s="39">
        <v>4</v>
      </c>
      <c r="DP53" s="42"/>
      <c r="DQ53" s="15">
        <v>19.100000000000001</v>
      </c>
      <c r="DR53" s="15">
        <v>12.5</v>
      </c>
      <c r="DS53" s="15">
        <v>8.6</v>
      </c>
      <c r="DT53" s="43">
        <f t="shared" ref="DT53" si="40">DQ53*DR53*DS53*0.52</f>
        <v>1067.69</v>
      </c>
      <c r="DU53" s="87"/>
      <c r="DX53">
        <v>52</v>
      </c>
    </row>
    <row r="54" spans="1:128" x14ac:dyDescent="0.25">
      <c r="A54" s="39">
        <v>5</v>
      </c>
      <c r="B54" s="39">
        <v>5</v>
      </c>
      <c r="C54" s="42"/>
      <c r="D54" s="15">
        <v>5</v>
      </c>
      <c r="E54" s="15">
        <v>4</v>
      </c>
      <c r="F54" s="15">
        <v>2</v>
      </c>
      <c r="G54" s="43">
        <f t="shared" si="27"/>
        <v>20.8</v>
      </c>
      <c r="H54" s="44"/>
      <c r="J54" s="39">
        <v>5</v>
      </c>
      <c r="K54" s="39">
        <v>5</v>
      </c>
      <c r="L54" s="42"/>
      <c r="M54" s="15">
        <v>3</v>
      </c>
      <c r="N54" s="15">
        <v>3</v>
      </c>
      <c r="O54" s="15">
        <v>2.5</v>
      </c>
      <c r="P54" s="43">
        <f t="shared" si="28"/>
        <v>11.700000000000001</v>
      </c>
      <c r="Q54" s="44"/>
      <c r="S54" s="39">
        <v>5</v>
      </c>
      <c r="T54" s="39">
        <v>5</v>
      </c>
      <c r="U54" s="42"/>
      <c r="V54" s="15">
        <v>6</v>
      </c>
      <c r="W54" s="15">
        <v>6</v>
      </c>
      <c r="X54" s="15">
        <v>2</v>
      </c>
      <c r="Y54" s="43">
        <f t="shared" si="29"/>
        <v>37.44</v>
      </c>
      <c r="Z54" s="44"/>
      <c r="AB54" s="39">
        <v>5</v>
      </c>
      <c r="AC54" s="39">
        <v>5</v>
      </c>
      <c r="AD54" s="42"/>
      <c r="AE54" s="15">
        <v>5</v>
      </c>
      <c r="AF54" s="15">
        <v>5</v>
      </c>
      <c r="AG54" s="15">
        <v>2</v>
      </c>
      <c r="AH54" s="43">
        <f t="shared" si="30"/>
        <v>26</v>
      </c>
      <c r="AI54" s="44"/>
      <c r="AK54" s="39">
        <v>5</v>
      </c>
      <c r="AL54" s="39">
        <v>5</v>
      </c>
      <c r="AM54" s="42"/>
      <c r="AN54" s="15">
        <v>5</v>
      </c>
      <c r="AO54" s="15">
        <v>5</v>
      </c>
      <c r="AP54" s="15">
        <v>3</v>
      </c>
      <c r="AQ54" s="43">
        <f t="shared" si="31"/>
        <v>39</v>
      </c>
      <c r="AR54" s="44"/>
      <c r="AT54" s="39">
        <v>5</v>
      </c>
      <c r="AU54" s="39">
        <v>5</v>
      </c>
      <c r="AV54" s="42"/>
      <c r="AW54" s="15">
        <v>5</v>
      </c>
      <c r="AX54" s="15">
        <v>5</v>
      </c>
      <c r="AY54" s="15">
        <v>3</v>
      </c>
      <c r="AZ54" s="43">
        <f t="shared" si="32"/>
        <v>39</v>
      </c>
      <c r="BA54" s="44"/>
      <c r="BC54" s="39">
        <v>5</v>
      </c>
      <c r="BD54" s="39">
        <v>5</v>
      </c>
      <c r="BE54" s="42"/>
      <c r="BF54" s="15">
        <v>7.5</v>
      </c>
      <c r="BG54" s="15">
        <v>6.8</v>
      </c>
      <c r="BH54" s="15">
        <v>4.3</v>
      </c>
      <c r="BI54" s="43">
        <f t="shared" si="33"/>
        <v>114.036</v>
      </c>
      <c r="BJ54" s="44"/>
      <c r="BL54" s="39">
        <v>5</v>
      </c>
      <c r="BM54" s="39">
        <v>5</v>
      </c>
      <c r="BN54" s="42"/>
      <c r="BO54" s="15">
        <v>7</v>
      </c>
      <c r="BP54" s="15">
        <v>7</v>
      </c>
      <c r="BQ54" s="15">
        <v>5</v>
      </c>
      <c r="BR54" s="43">
        <f t="shared" si="34"/>
        <v>127.4</v>
      </c>
      <c r="BS54" s="44"/>
      <c r="BU54" s="39">
        <v>5</v>
      </c>
      <c r="BV54" s="39">
        <v>5</v>
      </c>
      <c r="BW54" s="42"/>
      <c r="BX54" s="15">
        <v>11.6</v>
      </c>
      <c r="BY54" s="15">
        <v>9.6999999999999993</v>
      </c>
      <c r="BZ54" s="15">
        <v>7</v>
      </c>
      <c r="CA54" s="43">
        <f t="shared" si="35"/>
        <v>409.57279999999997</v>
      </c>
      <c r="CB54" s="44"/>
      <c r="CD54" s="39">
        <v>5</v>
      </c>
      <c r="CE54" s="39">
        <v>5</v>
      </c>
      <c r="CF54" s="42"/>
      <c r="CG54" s="15">
        <v>14.5</v>
      </c>
      <c r="CH54" s="15">
        <v>13.5</v>
      </c>
      <c r="CI54" s="15">
        <v>9.6999999999999993</v>
      </c>
      <c r="CJ54" s="43">
        <f t="shared" si="36"/>
        <v>987.36299999999994</v>
      </c>
      <c r="CK54" s="44"/>
      <c r="CM54" s="39">
        <v>5</v>
      </c>
      <c r="CN54" s="39">
        <v>5</v>
      </c>
      <c r="CO54" s="42"/>
      <c r="CP54" s="15">
        <v>24</v>
      </c>
      <c r="CQ54" s="15">
        <v>18</v>
      </c>
      <c r="CR54" s="15">
        <v>14.7</v>
      </c>
      <c r="CS54" s="82">
        <f t="shared" si="37"/>
        <v>3302.2080000000001</v>
      </c>
      <c r="CT54" s="44" t="s">
        <v>82</v>
      </c>
      <c r="CV54" s="39">
        <v>5</v>
      </c>
      <c r="CW54" s="39">
        <v>5</v>
      </c>
      <c r="CX54" s="42"/>
      <c r="CY54" s="83"/>
      <c r="CZ54" s="83"/>
      <c r="DA54" s="83"/>
      <c r="DB54" s="82"/>
      <c r="DC54" s="44" t="s">
        <v>82</v>
      </c>
      <c r="DE54" s="39">
        <v>5</v>
      </c>
      <c r="DF54" s="39">
        <v>5</v>
      </c>
      <c r="DG54" s="42"/>
      <c r="DH54" s="83"/>
      <c r="DI54" s="83"/>
      <c r="DJ54" s="83"/>
      <c r="DK54" s="82"/>
      <c r="DL54" s="44" t="s">
        <v>82</v>
      </c>
      <c r="DN54" s="39">
        <v>5</v>
      </c>
      <c r="DO54" s="39">
        <v>5</v>
      </c>
      <c r="DP54" s="42"/>
      <c r="DQ54" s="83"/>
      <c r="DR54" s="83"/>
      <c r="DS54" s="83"/>
      <c r="DT54" s="82"/>
      <c r="DU54" s="44" t="s">
        <v>82</v>
      </c>
      <c r="DX54">
        <v>56</v>
      </c>
    </row>
    <row r="55" spans="1:128" x14ac:dyDescent="0.25">
      <c r="A55" s="39">
        <v>6</v>
      </c>
      <c r="B55" s="39">
        <v>6</v>
      </c>
      <c r="C55" s="42"/>
      <c r="D55" s="15">
        <v>3</v>
      </c>
      <c r="E55" s="15">
        <v>3</v>
      </c>
      <c r="F55" s="15">
        <v>3</v>
      </c>
      <c r="G55" s="43">
        <f t="shared" si="27"/>
        <v>14.040000000000001</v>
      </c>
      <c r="H55" s="44"/>
      <c r="J55" s="39">
        <v>6</v>
      </c>
      <c r="K55" s="39">
        <v>6</v>
      </c>
      <c r="L55" s="42"/>
      <c r="M55" s="15">
        <v>4.5</v>
      </c>
      <c r="N55" s="15">
        <v>4.5</v>
      </c>
      <c r="O55" s="15">
        <v>2.5</v>
      </c>
      <c r="P55" s="43">
        <f t="shared" si="28"/>
        <v>26.324999999999999</v>
      </c>
      <c r="Q55" s="44"/>
      <c r="S55" s="39">
        <v>6</v>
      </c>
      <c r="T55" s="39">
        <v>6</v>
      </c>
      <c r="U55" s="42"/>
      <c r="V55" s="15">
        <v>6</v>
      </c>
      <c r="W55" s="15">
        <v>6</v>
      </c>
      <c r="X55" s="15">
        <v>2.4</v>
      </c>
      <c r="Y55" s="43">
        <f t="shared" si="29"/>
        <v>44.927999999999997</v>
      </c>
      <c r="Z55" s="44"/>
      <c r="AB55" s="39">
        <v>6</v>
      </c>
      <c r="AC55" s="39">
        <v>6</v>
      </c>
      <c r="AD55" s="42"/>
      <c r="AE55" s="15">
        <v>5.6</v>
      </c>
      <c r="AF55" s="15">
        <v>7</v>
      </c>
      <c r="AG55" s="15">
        <v>2</v>
      </c>
      <c r="AH55" s="43">
        <f t="shared" si="30"/>
        <v>40.767999999999994</v>
      </c>
      <c r="AI55" s="44"/>
      <c r="AK55" s="39">
        <v>6</v>
      </c>
      <c r="AL55" s="39">
        <v>6</v>
      </c>
      <c r="AM55" s="42"/>
      <c r="AN55" s="15">
        <v>6</v>
      </c>
      <c r="AO55" s="15">
        <v>6</v>
      </c>
      <c r="AP55" s="15">
        <v>2</v>
      </c>
      <c r="AQ55" s="43">
        <f t="shared" si="31"/>
        <v>37.44</v>
      </c>
      <c r="AR55" s="44"/>
      <c r="AT55" s="39">
        <v>6</v>
      </c>
      <c r="AU55" s="39">
        <v>6</v>
      </c>
      <c r="AV55" s="42"/>
      <c r="AW55" s="15">
        <v>5</v>
      </c>
      <c r="AX55" s="15">
        <v>5</v>
      </c>
      <c r="AY55" s="15">
        <v>2</v>
      </c>
      <c r="AZ55" s="43">
        <f t="shared" si="32"/>
        <v>26</v>
      </c>
      <c r="BA55" s="44"/>
      <c r="BC55" s="39">
        <v>6</v>
      </c>
      <c r="BD55" s="39">
        <v>6</v>
      </c>
      <c r="BE55" s="42"/>
      <c r="BF55" s="15">
        <v>5</v>
      </c>
      <c r="BG55" s="15">
        <v>5</v>
      </c>
      <c r="BH55" s="15">
        <v>2</v>
      </c>
      <c r="BI55" s="43">
        <f t="shared" si="33"/>
        <v>26</v>
      </c>
      <c r="BJ55" s="44"/>
      <c r="BL55" s="39">
        <v>6</v>
      </c>
      <c r="BM55" s="39">
        <v>6</v>
      </c>
      <c r="BN55" s="42"/>
      <c r="BO55" s="15" t="s">
        <v>49</v>
      </c>
      <c r="BP55" s="15"/>
      <c r="BQ55" s="15"/>
      <c r="BR55" s="75">
        <v>0</v>
      </c>
      <c r="BS55" s="44"/>
      <c r="BU55" s="39">
        <v>6</v>
      </c>
      <c r="BV55" s="39">
        <v>6</v>
      </c>
      <c r="BW55" s="42"/>
      <c r="BX55" s="15" t="s">
        <v>49</v>
      </c>
      <c r="BY55" s="15"/>
      <c r="BZ55" s="15"/>
      <c r="CA55" s="75">
        <v>0</v>
      </c>
      <c r="CB55" s="44"/>
      <c r="CD55" s="39">
        <v>6</v>
      </c>
      <c r="CE55" s="39">
        <v>6</v>
      </c>
      <c r="CF55" s="42"/>
      <c r="CG55" s="15" t="s">
        <v>49</v>
      </c>
      <c r="CH55" s="15"/>
      <c r="CI55" s="15"/>
      <c r="CJ55" s="75">
        <v>0</v>
      </c>
      <c r="CK55" s="44"/>
      <c r="CM55" s="39">
        <v>6</v>
      </c>
      <c r="CN55" s="39">
        <v>6</v>
      </c>
      <c r="CO55" s="42"/>
      <c r="CP55" s="15" t="s">
        <v>49</v>
      </c>
      <c r="CQ55" s="15"/>
      <c r="CR55" s="15"/>
      <c r="CS55" s="75">
        <v>0</v>
      </c>
      <c r="CT55" s="44"/>
      <c r="CV55" s="39">
        <v>6</v>
      </c>
      <c r="CW55" s="39">
        <v>6</v>
      </c>
      <c r="CX55" s="42"/>
      <c r="CY55" s="15" t="s">
        <v>49</v>
      </c>
      <c r="CZ55" s="15"/>
      <c r="DA55" s="15"/>
      <c r="DB55" s="75">
        <v>0</v>
      </c>
      <c r="DC55" s="44"/>
      <c r="DE55" s="39">
        <v>6</v>
      </c>
      <c r="DF55" s="39">
        <v>6</v>
      </c>
      <c r="DG55" s="42"/>
      <c r="DH55" s="15" t="s">
        <v>49</v>
      </c>
      <c r="DI55" s="15"/>
      <c r="DJ55" s="15"/>
      <c r="DK55" s="75">
        <v>0</v>
      </c>
      <c r="DL55" s="44"/>
      <c r="DN55" s="39">
        <v>6</v>
      </c>
      <c r="DO55" s="39">
        <v>6</v>
      </c>
      <c r="DP55" s="42"/>
      <c r="DQ55" s="15" t="s">
        <v>49</v>
      </c>
      <c r="DR55" s="15"/>
      <c r="DS55" s="15"/>
      <c r="DT55" s="75">
        <v>0</v>
      </c>
      <c r="DU55" s="44"/>
      <c r="DX55" s="73">
        <v>56</v>
      </c>
    </row>
    <row r="56" spans="1:128" x14ac:dyDescent="0.25">
      <c r="A56" s="39">
        <v>7</v>
      </c>
      <c r="B56" s="45">
        <v>14</v>
      </c>
      <c r="C56" s="42"/>
      <c r="D56" s="15">
        <v>7</v>
      </c>
      <c r="E56" s="15">
        <v>5</v>
      </c>
      <c r="F56" s="15">
        <v>4</v>
      </c>
      <c r="G56" s="43">
        <f t="shared" si="27"/>
        <v>72.8</v>
      </c>
      <c r="H56" s="44"/>
      <c r="J56" s="39">
        <v>7</v>
      </c>
      <c r="K56" s="45">
        <v>14</v>
      </c>
      <c r="L56" s="42"/>
      <c r="M56" s="15">
        <v>5</v>
      </c>
      <c r="N56" s="15">
        <v>5</v>
      </c>
      <c r="O56" s="15">
        <v>4</v>
      </c>
      <c r="P56" s="43">
        <f t="shared" si="28"/>
        <v>52</v>
      </c>
      <c r="Q56" s="44"/>
      <c r="S56" s="39">
        <v>7</v>
      </c>
      <c r="T56" s="45">
        <v>14</v>
      </c>
      <c r="U56" s="42"/>
      <c r="V56" s="15">
        <v>5</v>
      </c>
      <c r="W56" s="15">
        <v>5</v>
      </c>
      <c r="X56" s="15">
        <v>3</v>
      </c>
      <c r="Y56" s="43">
        <f t="shared" si="29"/>
        <v>39</v>
      </c>
      <c r="Z56" s="44"/>
      <c r="AB56" s="39">
        <v>7</v>
      </c>
      <c r="AC56" s="45">
        <v>14</v>
      </c>
      <c r="AD56" s="91"/>
      <c r="AE56" s="15">
        <v>5</v>
      </c>
      <c r="AF56" s="15">
        <v>5</v>
      </c>
      <c r="AG56" s="15">
        <v>3</v>
      </c>
      <c r="AH56" s="43">
        <f t="shared" si="30"/>
        <v>39</v>
      </c>
      <c r="AI56" s="44"/>
      <c r="AK56" s="39">
        <v>7</v>
      </c>
      <c r="AL56" s="45">
        <v>14</v>
      </c>
      <c r="AM56" s="91"/>
      <c r="AN56" s="15">
        <v>5</v>
      </c>
      <c r="AO56" s="15">
        <v>5</v>
      </c>
      <c r="AP56" s="15">
        <v>3</v>
      </c>
      <c r="AQ56" s="43">
        <f t="shared" si="31"/>
        <v>39</v>
      </c>
      <c r="AR56" s="44"/>
      <c r="AT56" s="39">
        <v>7</v>
      </c>
      <c r="AU56" s="45">
        <v>14</v>
      </c>
      <c r="AV56" s="42"/>
      <c r="AW56" s="15">
        <v>5</v>
      </c>
      <c r="AX56" s="15">
        <v>5</v>
      </c>
      <c r="AY56" s="15">
        <v>4</v>
      </c>
      <c r="AZ56" s="43">
        <f t="shared" si="32"/>
        <v>52</v>
      </c>
      <c r="BA56" s="44"/>
      <c r="BC56" s="39">
        <v>7</v>
      </c>
      <c r="BD56" s="45">
        <v>14</v>
      </c>
      <c r="BE56" s="42"/>
      <c r="BF56" s="15">
        <v>5</v>
      </c>
      <c r="BG56" s="15">
        <v>5</v>
      </c>
      <c r="BH56" s="15">
        <v>5</v>
      </c>
      <c r="BI56" s="43">
        <f t="shared" si="33"/>
        <v>65</v>
      </c>
      <c r="BJ56" s="44"/>
      <c r="BL56" s="39">
        <v>7</v>
      </c>
      <c r="BM56" s="45">
        <v>14</v>
      </c>
      <c r="BN56" s="42"/>
      <c r="BO56" s="15">
        <v>3</v>
      </c>
      <c r="BP56" s="15">
        <v>3</v>
      </c>
      <c r="BQ56" s="15">
        <v>3</v>
      </c>
      <c r="BR56" s="43">
        <f t="shared" si="34"/>
        <v>14.040000000000001</v>
      </c>
      <c r="BS56" s="44"/>
      <c r="BU56" s="39">
        <v>7</v>
      </c>
      <c r="BV56" s="45">
        <v>14</v>
      </c>
      <c r="BW56" s="42"/>
      <c r="BX56" s="15" t="s">
        <v>49</v>
      </c>
      <c r="BY56" s="15"/>
      <c r="BZ56" s="15"/>
      <c r="CA56" s="75">
        <v>0</v>
      </c>
      <c r="CB56" s="44"/>
      <c r="CD56" s="39">
        <v>7</v>
      </c>
      <c r="CE56" s="45">
        <v>14</v>
      </c>
      <c r="CF56" s="42"/>
      <c r="CG56" s="15" t="s">
        <v>49</v>
      </c>
      <c r="CH56" s="15"/>
      <c r="CI56" s="15"/>
      <c r="CJ56" s="75">
        <v>0</v>
      </c>
      <c r="CK56" s="44"/>
      <c r="CM56" s="39">
        <v>7</v>
      </c>
      <c r="CN56" s="45">
        <v>14</v>
      </c>
      <c r="CO56" s="42"/>
      <c r="CP56" s="15" t="s">
        <v>49</v>
      </c>
      <c r="CQ56" s="15"/>
      <c r="CR56" s="15"/>
      <c r="CS56" s="75">
        <v>0</v>
      </c>
      <c r="CT56" s="44"/>
      <c r="CV56" s="39">
        <v>7</v>
      </c>
      <c r="CW56" s="45">
        <v>14</v>
      </c>
      <c r="CX56" s="42"/>
      <c r="CY56" s="15" t="s">
        <v>49</v>
      </c>
      <c r="CZ56" s="15"/>
      <c r="DA56" s="15"/>
      <c r="DB56" s="75">
        <v>0</v>
      </c>
      <c r="DC56" s="44"/>
      <c r="DE56" s="39">
        <v>7</v>
      </c>
      <c r="DF56" s="45">
        <v>14</v>
      </c>
      <c r="DG56" s="42"/>
      <c r="DH56" s="15" t="s">
        <v>49</v>
      </c>
      <c r="DI56" s="15"/>
      <c r="DJ56" s="15"/>
      <c r="DK56" s="75">
        <v>0</v>
      </c>
      <c r="DL56" s="44"/>
      <c r="DN56" s="39">
        <v>7</v>
      </c>
      <c r="DO56" s="45">
        <v>14</v>
      </c>
      <c r="DP56" s="42"/>
      <c r="DQ56" s="15" t="s">
        <v>49</v>
      </c>
      <c r="DR56" s="15"/>
      <c r="DS56" s="15"/>
      <c r="DT56" s="75">
        <v>0</v>
      </c>
      <c r="DU56" s="44"/>
      <c r="DX56" s="73">
        <v>56</v>
      </c>
    </row>
    <row r="57" spans="1:128" x14ac:dyDescent="0.25">
      <c r="A57" s="39">
        <v>8</v>
      </c>
      <c r="B57" s="45">
        <v>15</v>
      </c>
      <c r="C57" s="42"/>
      <c r="D57" s="15">
        <v>5</v>
      </c>
      <c r="E57" s="15">
        <v>5</v>
      </c>
      <c r="F57" s="15">
        <v>3</v>
      </c>
      <c r="G57" s="43">
        <f t="shared" si="27"/>
        <v>39</v>
      </c>
      <c r="H57" s="44"/>
      <c r="J57" s="39">
        <v>8</v>
      </c>
      <c r="K57" s="45">
        <v>15</v>
      </c>
      <c r="L57" s="42"/>
      <c r="M57" s="15">
        <v>4</v>
      </c>
      <c r="N57" s="15">
        <v>3</v>
      </c>
      <c r="O57" s="15">
        <v>2.5</v>
      </c>
      <c r="P57" s="43">
        <f t="shared" si="28"/>
        <v>15.600000000000001</v>
      </c>
      <c r="Q57" s="44"/>
      <c r="S57" s="39">
        <v>8</v>
      </c>
      <c r="T57" s="45">
        <v>15</v>
      </c>
      <c r="U57" s="42"/>
      <c r="V57" s="15">
        <v>6</v>
      </c>
      <c r="W57" s="15">
        <v>6</v>
      </c>
      <c r="X57" s="15">
        <v>2.5</v>
      </c>
      <c r="Y57" s="43">
        <f t="shared" si="29"/>
        <v>46.800000000000004</v>
      </c>
      <c r="Z57" s="44" t="s">
        <v>57</v>
      </c>
      <c r="AB57" s="39">
        <v>8</v>
      </c>
      <c r="AC57" s="45">
        <v>15</v>
      </c>
      <c r="AD57" s="91"/>
      <c r="AE57" s="15">
        <v>5</v>
      </c>
      <c r="AF57" s="15">
        <v>5</v>
      </c>
      <c r="AG57" s="15">
        <v>2</v>
      </c>
      <c r="AH57" s="43">
        <f t="shared" si="30"/>
        <v>26</v>
      </c>
      <c r="AI57" s="44"/>
      <c r="AK57" s="39">
        <v>8</v>
      </c>
      <c r="AL57" s="45">
        <v>15</v>
      </c>
      <c r="AM57" s="91"/>
      <c r="AN57" s="15">
        <v>5</v>
      </c>
      <c r="AO57" s="15">
        <v>5</v>
      </c>
      <c r="AP57" s="15">
        <v>2</v>
      </c>
      <c r="AQ57" s="43">
        <f t="shared" si="31"/>
        <v>26</v>
      </c>
      <c r="AR57" s="44"/>
      <c r="AT57" s="39">
        <v>8</v>
      </c>
      <c r="AU57" s="45">
        <v>15</v>
      </c>
      <c r="AV57" s="42"/>
      <c r="AW57" s="15">
        <v>5</v>
      </c>
      <c r="AX57" s="15">
        <v>5</v>
      </c>
      <c r="AY57" s="15">
        <v>2</v>
      </c>
      <c r="AZ57" s="43">
        <f t="shared" si="32"/>
        <v>26</v>
      </c>
      <c r="BA57" s="44"/>
      <c r="BC57" s="39">
        <v>8</v>
      </c>
      <c r="BD57" s="45">
        <v>15</v>
      </c>
      <c r="BE57" s="42"/>
      <c r="BF57" s="15">
        <v>5</v>
      </c>
      <c r="BG57" s="15">
        <v>5</v>
      </c>
      <c r="BH57" s="15">
        <v>5</v>
      </c>
      <c r="BI57" s="43">
        <f t="shared" si="33"/>
        <v>65</v>
      </c>
      <c r="BJ57" s="44"/>
      <c r="BL57" s="39">
        <v>8</v>
      </c>
      <c r="BM57" s="45">
        <v>15</v>
      </c>
      <c r="BN57" s="42"/>
      <c r="BO57" s="15">
        <v>5</v>
      </c>
      <c r="BP57" s="15">
        <v>5</v>
      </c>
      <c r="BQ57" s="15">
        <v>2</v>
      </c>
      <c r="BR57" s="43">
        <f t="shared" si="34"/>
        <v>26</v>
      </c>
      <c r="BS57" s="44"/>
      <c r="BU57" s="39">
        <v>8</v>
      </c>
      <c r="BV57" s="45">
        <v>15</v>
      </c>
      <c r="BW57" s="42"/>
      <c r="BX57" s="15">
        <v>5</v>
      </c>
      <c r="BY57" s="15">
        <v>5</v>
      </c>
      <c r="BZ57" s="15">
        <v>2</v>
      </c>
      <c r="CA57" s="43">
        <f t="shared" si="35"/>
        <v>26</v>
      </c>
      <c r="CB57" s="44"/>
      <c r="CD57" s="39">
        <v>8</v>
      </c>
      <c r="CE57" s="45">
        <v>15</v>
      </c>
      <c r="CF57" s="42"/>
      <c r="CG57" s="15">
        <v>5</v>
      </c>
      <c r="CH57" s="15">
        <v>5</v>
      </c>
      <c r="CI57" s="15">
        <v>3</v>
      </c>
      <c r="CJ57" s="43">
        <f t="shared" si="36"/>
        <v>39</v>
      </c>
      <c r="CK57" s="44" t="s">
        <v>79</v>
      </c>
      <c r="CM57" s="39">
        <v>8</v>
      </c>
      <c r="CN57" s="45">
        <v>15</v>
      </c>
      <c r="CO57" s="42" t="s">
        <v>83</v>
      </c>
      <c r="CP57" s="15">
        <v>7</v>
      </c>
      <c r="CQ57" s="15">
        <v>5</v>
      </c>
      <c r="CR57" s="15">
        <v>3</v>
      </c>
      <c r="CS57" s="43">
        <f t="shared" si="37"/>
        <v>54.6</v>
      </c>
      <c r="CT57" s="44"/>
      <c r="CV57" s="39">
        <v>8</v>
      </c>
      <c r="CW57" s="45">
        <v>15</v>
      </c>
      <c r="CX57" s="42"/>
      <c r="CY57" s="15">
        <v>8.5</v>
      </c>
      <c r="CZ57" s="15">
        <v>5.7</v>
      </c>
      <c r="DA57" s="15">
        <v>2.6</v>
      </c>
      <c r="DB57" s="43">
        <f t="shared" si="38"/>
        <v>65.504400000000004</v>
      </c>
      <c r="DC57" s="44"/>
      <c r="DE57" s="39">
        <v>8</v>
      </c>
      <c r="DF57" s="45">
        <v>15</v>
      </c>
      <c r="DG57" s="42"/>
      <c r="DH57" s="15">
        <v>11.1</v>
      </c>
      <c r="DI57" s="15">
        <v>9.3000000000000007</v>
      </c>
      <c r="DJ57" s="15">
        <v>4.2</v>
      </c>
      <c r="DK57" s="43">
        <f t="shared" ref="DK57" si="41">DH57*DI57*DJ57*0.52</f>
        <v>225.45432000000002</v>
      </c>
      <c r="DL57" s="44"/>
      <c r="DN57" s="39">
        <v>8</v>
      </c>
      <c r="DO57" s="45">
        <v>15</v>
      </c>
      <c r="DP57" s="42"/>
      <c r="DQ57" s="15">
        <v>16.8</v>
      </c>
      <c r="DR57" s="15">
        <v>12.5</v>
      </c>
      <c r="DS57" s="15">
        <v>7.2</v>
      </c>
      <c r="DT57" s="43">
        <f t="shared" ref="DT57" si="42">DQ57*DR57*DS57*0.52</f>
        <v>786.24</v>
      </c>
      <c r="DU57" s="87"/>
      <c r="DX57" s="88"/>
    </row>
    <row r="58" spans="1:128" x14ac:dyDescent="0.25">
      <c r="A58" s="39">
        <v>9</v>
      </c>
      <c r="B58" s="45">
        <v>16</v>
      </c>
      <c r="C58" s="42"/>
      <c r="D58" s="15">
        <v>5</v>
      </c>
      <c r="E58" s="15">
        <v>5</v>
      </c>
      <c r="F58" s="15">
        <v>4</v>
      </c>
      <c r="G58" s="43">
        <f t="shared" si="27"/>
        <v>52</v>
      </c>
      <c r="H58" s="44"/>
      <c r="J58" s="39">
        <v>9</v>
      </c>
      <c r="K58" s="45">
        <v>16</v>
      </c>
      <c r="L58" s="42"/>
      <c r="M58" s="15">
        <v>4.5</v>
      </c>
      <c r="N58" s="15">
        <v>4.5</v>
      </c>
      <c r="O58" s="15">
        <v>2.5</v>
      </c>
      <c r="P58" s="43">
        <f t="shared" si="28"/>
        <v>26.324999999999999</v>
      </c>
      <c r="Q58" s="44"/>
      <c r="S58" s="39">
        <v>9</v>
      </c>
      <c r="T58" s="45">
        <v>16</v>
      </c>
      <c r="U58" s="42"/>
      <c r="V58" s="15">
        <v>5.8</v>
      </c>
      <c r="W58" s="15">
        <v>8.3000000000000007</v>
      </c>
      <c r="X58" s="15">
        <v>2.5</v>
      </c>
      <c r="Y58" s="43">
        <f t="shared" si="29"/>
        <v>62.582000000000001</v>
      </c>
      <c r="Z58" s="44"/>
      <c r="AB58" s="39">
        <v>9</v>
      </c>
      <c r="AC58" s="45">
        <v>16</v>
      </c>
      <c r="AD58" s="91"/>
      <c r="AE58" s="15">
        <v>5.8</v>
      </c>
      <c r="AF58" s="15">
        <v>8.3000000000000007</v>
      </c>
      <c r="AG58" s="15">
        <v>2.5</v>
      </c>
      <c r="AH58" s="43">
        <f t="shared" si="30"/>
        <v>62.582000000000001</v>
      </c>
      <c r="AI58" s="44"/>
      <c r="AK58" s="39">
        <v>9</v>
      </c>
      <c r="AL58" s="45">
        <v>16</v>
      </c>
      <c r="AM58" s="91"/>
      <c r="AN58" s="15">
        <v>6.8</v>
      </c>
      <c r="AO58" s="15">
        <v>6.3</v>
      </c>
      <c r="AP58" s="15">
        <v>3</v>
      </c>
      <c r="AQ58" s="43">
        <f t="shared" si="31"/>
        <v>66.830399999999997</v>
      </c>
      <c r="AR58" s="44"/>
      <c r="AT58" s="39">
        <v>9</v>
      </c>
      <c r="AU58" s="45">
        <v>16</v>
      </c>
      <c r="AV58" s="42"/>
      <c r="AW58" s="15">
        <v>7</v>
      </c>
      <c r="AX58" s="15">
        <v>7</v>
      </c>
      <c r="AY58" s="15">
        <v>4.9000000000000004</v>
      </c>
      <c r="AZ58" s="43">
        <f t="shared" si="32"/>
        <v>124.85200000000002</v>
      </c>
      <c r="BA58" s="44"/>
      <c r="BC58" s="39">
        <v>9</v>
      </c>
      <c r="BD58" s="45">
        <v>16</v>
      </c>
      <c r="BE58" s="42"/>
      <c r="BF58" s="15">
        <v>8.1</v>
      </c>
      <c r="BG58" s="15">
        <v>8.8000000000000007</v>
      </c>
      <c r="BH58" s="15">
        <v>5.5</v>
      </c>
      <c r="BI58" s="43">
        <f>BF58*BG58*BH58*0.52</f>
        <v>203.86080000000001</v>
      </c>
      <c r="BJ58" s="44"/>
      <c r="BL58" s="39">
        <v>9</v>
      </c>
      <c r="BM58" s="45">
        <v>16</v>
      </c>
      <c r="BN58" s="42"/>
      <c r="BO58" s="15">
        <v>12</v>
      </c>
      <c r="BP58" s="15">
        <v>12</v>
      </c>
      <c r="BQ58" s="15">
        <v>8</v>
      </c>
      <c r="BR58" s="43">
        <f t="shared" si="34"/>
        <v>599.04</v>
      </c>
      <c r="BS58" s="44"/>
      <c r="BU58" s="39">
        <v>9</v>
      </c>
      <c r="BV58" s="45">
        <v>16</v>
      </c>
      <c r="BW58" s="42"/>
      <c r="BX58" s="15">
        <v>16.3</v>
      </c>
      <c r="BY58" s="15">
        <v>14.2</v>
      </c>
      <c r="BZ58" s="15">
        <v>10.4</v>
      </c>
      <c r="CA58" s="43">
        <f t="shared" si="35"/>
        <v>1251.7356800000002</v>
      </c>
      <c r="CB58" s="44"/>
      <c r="CD58" s="39">
        <v>9</v>
      </c>
      <c r="CE58" s="45">
        <v>16</v>
      </c>
      <c r="CF58" s="42"/>
      <c r="CG58" s="15">
        <v>20</v>
      </c>
      <c r="CH58" s="15">
        <v>18</v>
      </c>
      <c r="CI58" s="15">
        <v>12</v>
      </c>
      <c r="CJ58" s="82">
        <f t="shared" si="36"/>
        <v>2246.4</v>
      </c>
      <c r="CK58" s="44" t="s">
        <v>78</v>
      </c>
      <c r="CM58" s="39">
        <v>9</v>
      </c>
      <c r="CN58" s="45">
        <v>16</v>
      </c>
      <c r="CO58" s="42"/>
      <c r="CP58" s="83"/>
      <c r="CQ58" s="83"/>
      <c r="CR58" s="83"/>
      <c r="CS58" s="82"/>
      <c r="CT58" s="44" t="s">
        <v>78</v>
      </c>
      <c r="CV58" s="39">
        <v>9</v>
      </c>
      <c r="CW58" s="45">
        <v>16</v>
      </c>
      <c r="CX58" s="42"/>
      <c r="CY58" s="83"/>
      <c r="CZ58" s="83"/>
      <c r="DA58" s="83"/>
      <c r="DB58" s="82"/>
      <c r="DC58" s="44" t="s">
        <v>78</v>
      </c>
      <c r="DE58" s="39">
        <v>9</v>
      </c>
      <c r="DF58" s="45">
        <v>16</v>
      </c>
      <c r="DG58" s="42"/>
      <c r="DH58" s="83"/>
      <c r="DI58" s="83"/>
      <c r="DJ58" s="83"/>
      <c r="DK58" s="82"/>
      <c r="DL58" s="44" t="s">
        <v>78</v>
      </c>
      <c r="DN58" s="39">
        <v>9</v>
      </c>
      <c r="DO58" s="45">
        <v>16</v>
      </c>
      <c r="DP58" s="42"/>
      <c r="DQ58" s="83"/>
      <c r="DR58" s="83"/>
      <c r="DS58" s="83"/>
      <c r="DT58" s="82"/>
      <c r="DU58" s="44" t="s">
        <v>78</v>
      </c>
      <c r="DX58" s="88"/>
    </row>
    <row r="59" spans="1:128" x14ac:dyDescent="0.25">
      <c r="A59" s="39">
        <v>10</v>
      </c>
      <c r="B59" s="46" t="s">
        <v>8</v>
      </c>
      <c r="C59" s="42"/>
      <c r="D59" s="15">
        <v>5</v>
      </c>
      <c r="E59" s="15">
        <v>3</v>
      </c>
      <c r="F59" s="15">
        <v>3</v>
      </c>
      <c r="G59" s="43">
        <f>D59*E59*F59*0.52</f>
        <v>23.400000000000002</v>
      </c>
      <c r="H59" s="44"/>
      <c r="J59" s="39">
        <v>10</v>
      </c>
      <c r="K59" s="46" t="s">
        <v>8</v>
      </c>
      <c r="L59" s="42"/>
      <c r="M59" s="15">
        <v>6.9</v>
      </c>
      <c r="N59" s="15">
        <v>4.4000000000000004</v>
      </c>
      <c r="O59" s="15">
        <v>3</v>
      </c>
      <c r="P59" s="43">
        <f>M59*N59*O59*0.52</f>
        <v>47.36160000000001</v>
      </c>
      <c r="Q59" s="44"/>
      <c r="S59" s="39">
        <v>10</v>
      </c>
      <c r="T59" s="46" t="s">
        <v>8</v>
      </c>
      <c r="U59" s="42"/>
      <c r="V59" s="15">
        <v>7</v>
      </c>
      <c r="W59" s="15">
        <v>6</v>
      </c>
      <c r="X59" s="15">
        <v>2</v>
      </c>
      <c r="Y59" s="43">
        <f>V59*W59*X59*0.52</f>
        <v>43.68</v>
      </c>
      <c r="Z59" s="44"/>
      <c r="AB59" s="39">
        <v>10</v>
      </c>
      <c r="AC59" s="46" t="s">
        <v>8</v>
      </c>
      <c r="AD59" s="42"/>
      <c r="AE59" s="15">
        <v>8</v>
      </c>
      <c r="AF59" s="15">
        <v>6</v>
      </c>
      <c r="AG59" s="15">
        <v>2</v>
      </c>
      <c r="AH59" s="43">
        <f>AE59*AF59*AG59*0.52</f>
        <v>49.92</v>
      </c>
      <c r="AI59" s="44" t="s">
        <v>61</v>
      </c>
      <c r="AK59" s="39">
        <v>10</v>
      </c>
      <c r="AL59" s="46" t="s">
        <v>8</v>
      </c>
      <c r="AM59" s="42"/>
      <c r="AN59" s="15">
        <v>8</v>
      </c>
      <c r="AO59" s="15">
        <v>6.7</v>
      </c>
      <c r="AP59" s="15">
        <v>2</v>
      </c>
      <c r="AQ59" s="43">
        <f>AN59*AO59*AP59*0.52</f>
        <v>55.744000000000007</v>
      </c>
      <c r="AR59" s="44"/>
      <c r="AT59" s="39">
        <v>10</v>
      </c>
      <c r="AU59" s="46" t="s">
        <v>8</v>
      </c>
      <c r="AV59" s="42"/>
      <c r="AW59" s="15">
        <v>5</v>
      </c>
      <c r="AX59" s="15">
        <v>5</v>
      </c>
      <c r="AY59" s="15">
        <v>3</v>
      </c>
      <c r="AZ59" s="43">
        <f>AW59*AX59*AY59*0.52</f>
        <v>39</v>
      </c>
      <c r="BA59" s="44"/>
      <c r="BC59" s="39">
        <v>10</v>
      </c>
      <c r="BD59" s="46" t="s">
        <v>8</v>
      </c>
      <c r="BE59" s="42"/>
      <c r="BF59" s="15">
        <v>5</v>
      </c>
      <c r="BG59" s="15">
        <v>5</v>
      </c>
      <c r="BH59" s="15">
        <v>5</v>
      </c>
      <c r="BI59" s="43">
        <f>BF59*BG59*BH59*0.52</f>
        <v>65</v>
      </c>
      <c r="BJ59" s="44"/>
      <c r="BL59" s="39">
        <v>10</v>
      </c>
      <c r="BM59" s="46" t="s">
        <v>8</v>
      </c>
      <c r="BN59" s="42"/>
      <c r="BO59" s="15">
        <v>6</v>
      </c>
      <c r="BP59" s="15">
        <v>7</v>
      </c>
      <c r="BQ59" s="15">
        <v>4</v>
      </c>
      <c r="BR59" s="43">
        <f t="shared" si="34"/>
        <v>87.36</v>
      </c>
      <c r="BS59" s="44"/>
      <c r="BU59" s="39">
        <v>10</v>
      </c>
      <c r="BV59" s="46" t="s">
        <v>8</v>
      </c>
      <c r="BW59" s="42"/>
      <c r="BX59" s="15">
        <v>8</v>
      </c>
      <c r="BY59" s="15">
        <v>8</v>
      </c>
      <c r="BZ59" s="15">
        <v>3.5</v>
      </c>
      <c r="CA59" s="43">
        <f>BX59*BY59*BZ59*0.52</f>
        <v>116.48</v>
      </c>
      <c r="CB59" s="44"/>
      <c r="CD59" s="39">
        <v>10</v>
      </c>
      <c r="CE59" s="46" t="s">
        <v>8</v>
      </c>
      <c r="CF59" s="42"/>
      <c r="CG59" s="15">
        <v>8.5</v>
      </c>
      <c r="CH59" s="15">
        <v>9.5</v>
      </c>
      <c r="CI59" s="15">
        <v>4.7</v>
      </c>
      <c r="CJ59" s="43">
        <f>CG59*CH59*CI59*0.52</f>
        <v>197.35300000000004</v>
      </c>
      <c r="CK59" s="44"/>
      <c r="CM59" s="39">
        <v>10</v>
      </c>
      <c r="CN59" s="46" t="s">
        <v>8</v>
      </c>
      <c r="CO59" s="42"/>
      <c r="CP59" s="15">
        <v>16</v>
      </c>
      <c r="CQ59" s="15">
        <v>14</v>
      </c>
      <c r="CR59" s="15">
        <v>6</v>
      </c>
      <c r="CS59" s="43">
        <f>CP59*CQ59*CR59*0.52</f>
        <v>698.88</v>
      </c>
      <c r="CT59" s="44"/>
      <c r="CV59" s="39">
        <v>10</v>
      </c>
      <c r="CW59" s="46" t="s">
        <v>8</v>
      </c>
      <c r="CX59" s="42"/>
      <c r="CY59" s="15">
        <v>18.2</v>
      </c>
      <c r="CZ59" s="15">
        <v>17.8</v>
      </c>
      <c r="DA59" s="15">
        <v>7.3</v>
      </c>
      <c r="DB59" s="43">
        <f>CY59*CZ59*DA59*0.52</f>
        <v>1229.75216</v>
      </c>
      <c r="DC59" s="44"/>
      <c r="DE59" s="39">
        <v>10</v>
      </c>
      <c r="DF59" s="46" t="s">
        <v>8</v>
      </c>
      <c r="DG59" s="42"/>
      <c r="DH59" s="15">
        <v>24.1</v>
      </c>
      <c r="DI59" s="15">
        <v>21.7</v>
      </c>
      <c r="DJ59" s="15">
        <v>9.6999999999999993</v>
      </c>
      <c r="DK59" s="76">
        <f>DH59*DI59*DJ59*0.52</f>
        <v>2637.8606800000002</v>
      </c>
      <c r="DL59" s="44" t="s">
        <v>87</v>
      </c>
      <c r="DN59" s="39">
        <v>10</v>
      </c>
      <c r="DO59" s="46" t="s">
        <v>8</v>
      </c>
      <c r="DP59" s="42"/>
      <c r="DQ59" s="77"/>
      <c r="DR59" s="77"/>
      <c r="DS59" s="77"/>
      <c r="DT59" s="76"/>
      <c r="DU59" s="44" t="s">
        <v>87</v>
      </c>
      <c r="DX59" s="88"/>
    </row>
    <row r="60" spans="1:128" x14ac:dyDescent="0.25">
      <c r="A60" s="20" t="s">
        <v>9</v>
      </c>
      <c r="B60" s="20"/>
      <c r="C60" s="21"/>
      <c r="D60" s="22"/>
      <c r="E60" s="22"/>
      <c r="F60" s="22"/>
      <c r="G60" s="21">
        <f>AVERAGE(G50:G59)</f>
        <v>29.9</v>
      </c>
      <c r="H60" s="47"/>
      <c r="J60" s="20" t="s">
        <v>9</v>
      </c>
      <c r="K60" s="20"/>
      <c r="L60" s="21"/>
      <c r="M60" s="22"/>
      <c r="N60" s="22"/>
      <c r="O60" s="22"/>
      <c r="P60" s="21">
        <f>AVERAGE(P50:P59)</f>
        <v>24.613160000000001</v>
      </c>
      <c r="Q60" s="47"/>
      <c r="S60" s="20" t="s">
        <v>9</v>
      </c>
      <c r="T60" s="20"/>
      <c r="U60" s="21"/>
      <c r="V60" s="22"/>
      <c r="W60" s="22"/>
      <c r="X60" s="22"/>
      <c r="Y60" s="21">
        <f>AVERAGE(Y50:Y59)</f>
        <v>46.547800000000002</v>
      </c>
      <c r="Z60" s="47"/>
      <c r="AB60" s="20" t="s">
        <v>9</v>
      </c>
      <c r="AC60" s="20"/>
      <c r="AD60" s="21"/>
      <c r="AE60" s="22"/>
      <c r="AF60" s="22"/>
      <c r="AG60" s="22"/>
      <c r="AH60" s="21">
        <f>AVERAGE(AH50:AH59)</f>
        <v>41.548000000000002</v>
      </c>
      <c r="AI60" s="47"/>
      <c r="AK60" s="20" t="s">
        <v>9</v>
      </c>
      <c r="AL60" s="20"/>
      <c r="AM60" s="21"/>
      <c r="AN60" s="22"/>
      <c r="AO60" s="22"/>
      <c r="AP60" s="22"/>
      <c r="AQ60" s="21">
        <f>AVERAGE(AQ50:AQ59)</f>
        <v>55.504800000000003</v>
      </c>
      <c r="AR60" s="47"/>
      <c r="AT60" s="20" t="s">
        <v>9</v>
      </c>
      <c r="AU60" s="20"/>
      <c r="AV60" s="21"/>
      <c r="AW60" s="22"/>
      <c r="AX60" s="22"/>
      <c r="AY60" s="22"/>
      <c r="AZ60" s="21">
        <f>AVERAGE(AZ50:AZ59)</f>
        <v>59.846800000000009</v>
      </c>
      <c r="BA60" s="47"/>
      <c r="BC60" s="20" t="s">
        <v>9</v>
      </c>
      <c r="BD60" s="20"/>
      <c r="BE60" s="21"/>
      <c r="BF60" s="22"/>
      <c r="BG60" s="22"/>
      <c r="BH60" s="22"/>
      <c r="BI60" s="21">
        <f>AVERAGE(BI50:BI59)</f>
        <v>95.384640000000005</v>
      </c>
      <c r="BJ60" s="47"/>
      <c r="BL60" s="20" t="s">
        <v>9</v>
      </c>
      <c r="BM60" s="20"/>
      <c r="BN60" s="21"/>
      <c r="BO60" s="22"/>
      <c r="BP60" s="22"/>
      <c r="BQ60" s="22"/>
      <c r="BR60" s="21">
        <f>AVERAGE(BR50:BR59)</f>
        <v>154.64799999999997</v>
      </c>
      <c r="BS60" s="47"/>
      <c r="BU60" s="20" t="s">
        <v>9</v>
      </c>
      <c r="BV60" s="20"/>
      <c r="BW60" s="21"/>
      <c r="BX60" s="22"/>
      <c r="BY60" s="22"/>
      <c r="BZ60" s="22"/>
      <c r="CA60" s="21">
        <f>AVERAGE(CA50:CA59)</f>
        <v>306.73884800000002</v>
      </c>
      <c r="CB60" s="47"/>
      <c r="CD60" s="20" t="s">
        <v>9</v>
      </c>
      <c r="CE60" s="20"/>
      <c r="CF60" s="21"/>
      <c r="CG60" s="22"/>
      <c r="CH60" s="22"/>
      <c r="CI60" s="22"/>
      <c r="CJ60" s="21">
        <f>AVERAGE(CJ50:CJ59)</f>
        <v>616.63159999999993</v>
      </c>
      <c r="CK60" s="47"/>
      <c r="CM60" s="20" t="s">
        <v>9</v>
      </c>
      <c r="CN60" s="20"/>
      <c r="CO60" s="21"/>
      <c r="CP60" s="22"/>
      <c r="CQ60" s="22"/>
      <c r="CR60" s="22"/>
      <c r="CS60" s="21">
        <f>AVERAGE(CS50:CS59)</f>
        <v>571.74</v>
      </c>
      <c r="CT60" s="47"/>
      <c r="CV60" s="20" t="s">
        <v>9</v>
      </c>
      <c r="CW60" s="20"/>
      <c r="CX60" s="21"/>
      <c r="CY60" s="22"/>
      <c r="CZ60" s="22"/>
      <c r="DA60" s="22"/>
      <c r="DB60" s="21">
        <f>AVERAGE(DB50:DB59)</f>
        <v>387.64841142857142</v>
      </c>
      <c r="DC60" s="47"/>
      <c r="DE60" s="20" t="s">
        <v>9</v>
      </c>
      <c r="DF60" s="20"/>
      <c r="DG60" s="21"/>
      <c r="DH60" s="22"/>
      <c r="DI60" s="22"/>
      <c r="DJ60" s="22"/>
      <c r="DK60" s="21">
        <f>AVERAGE(DK50:DK59)</f>
        <v>708.20619999999997</v>
      </c>
      <c r="DL60" s="47"/>
      <c r="DN60" s="20" t="s">
        <v>9</v>
      </c>
      <c r="DO60" s="20"/>
      <c r="DP60" s="21"/>
      <c r="DQ60" s="22"/>
      <c r="DR60" s="22"/>
      <c r="DS60" s="22"/>
      <c r="DT60" s="21">
        <f>AVERAGE(DT50:DT59)</f>
        <v>740.37166666666678</v>
      </c>
      <c r="DU60" s="47"/>
    </row>
    <row r="61" spans="1:128" x14ac:dyDescent="0.25">
      <c r="A61" s="20" t="s">
        <v>10</v>
      </c>
      <c r="B61" s="20"/>
      <c r="C61" s="22"/>
      <c r="D61" s="22"/>
      <c r="E61" s="22"/>
      <c r="F61" s="22"/>
      <c r="G61" s="21">
        <f>AVEDEV(G50:G59)</f>
        <v>14.819999999999997</v>
      </c>
      <c r="H61" s="47"/>
      <c r="J61" s="20" t="s">
        <v>10</v>
      </c>
      <c r="K61" s="20"/>
      <c r="L61" s="22"/>
      <c r="M61" s="22"/>
      <c r="N61" s="22"/>
      <c r="O61" s="22"/>
      <c r="P61" s="21">
        <f>AVEDEV(P50:P59)</f>
        <v>10.711791999999999</v>
      </c>
      <c r="Q61" s="47"/>
      <c r="S61" s="20" t="s">
        <v>10</v>
      </c>
      <c r="T61" s="20"/>
      <c r="U61" s="22"/>
      <c r="V61" s="22"/>
      <c r="W61" s="22"/>
      <c r="X61" s="22"/>
      <c r="Y61" s="21">
        <f>AVEDEV(Y50:Y59)</f>
        <v>5.7382000000000009</v>
      </c>
      <c r="Z61" s="47"/>
      <c r="AB61" s="20" t="s">
        <v>10</v>
      </c>
      <c r="AC61" s="20"/>
      <c r="AD61" s="22"/>
      <c r="AE61" s="22"/>
      <c r="AF61" s="22"/>
      <c r="AG61" s="22"/>
      <c r="AH61" s="21">
        <f>AVEDEV(AH50:AH59)</f>
        <v>15.495999999999999</v>
      </c>
      <c r="AI61" s="47"/>
      <c r="AK61" s="20" t="s">
        <v>10</v>
      </c>
      <c r="AL61" s="20"/>
      <c r="AM61" s="22"/>
      <c r="AN61" s="22"/>
      <c r="AO61" s="22"/>
      <c r="AP61" s="22"/>
      <c r="AQ61" s="21">
        <f>AVEDEV(AQ50:AQ59)</f>
        <v>27.917759999999994</v>
      </c>
      <c r="AR61" s="47"/>
      <c r="AT61" s="20" t="s">
        <v>10</v>
      </c>
      <c r="AU61" s="20"/>
      <c r="AV61" s="22"/>
      <c r="AW61" s="22"/>
      <c r="AX61" s="22"/>
      <c r="AY61" s="22"/>
      <c r="AZ61" s="21">
        <f>AVEDEV(AZ50:AZ59)</f>
        <v>47.385520000000021</v>
      </c>
      <c r="BA61" s="47"/>
      <c r="BC61" s="20" t="s">
        <v>10</v>
      </c>
      <c r="BD61" s="20"/>
      <c r="BE61" s="22"/>
      <c r="BF61" s="22"/>
      <c r="BG61" s="22"/>
      <c r="BH61" s="22"/>
      <c r="BI61" s="21">
        <f>AVEDEV(BI50:BI59)</f>
        <v>67.453568000000004</v>
      </c>
      <c r="BJ61" s="47"/>
      <c r="BL61" s="20" t="s">
        <v>10</v>
      </c>
      <c r="BM61" s="20"/>
      <c r="BN61" s="22"/>
      <c r="BO61" s="22"/>
      <c r="BP61" s="22"/>
      <c r="BQ61" s="22"/>
      <c r="BR61" s="21">
        <f>AVEDEV(BR50:BR59)</f>
        <v>177.75679999999997</v>
      </c>
      <c r="BS61" s="47"/>
      <c r="BU61" s="20" t="s">
        <v>10</v>
      </c>
      <c r="BV61" s="20"/>
      <c r="BW61" s="22"/>
      <c r="BX61" s="22"/>
      <c r="BY61" s="22"/>
      <c r="BZ61" s="22"/>
      <c r="CA61" s="21">
        <f>AVEDEV(CA50:CA59)</f>
        <v>382.2183872</v>
      </c>
      <c r="CB61" s="47"/>
      <c r="CD61" s="20" t="s">
        <v>10</v>
      </c>
      <c r="CE61" s="20"/>
      <c r="CF61" s="22"/>
      <c r="CG61" s="22"/>
      <c r="CH61" s="22"/>
      <c r="CI61" s="22"/>
      <c r="CJ61" s="21">
        <f>AVEDEV(CJ50:CJ59)</f>
        <v>790.53363999999988</v>
      </c>
      <c r="CK61" s="47"/>
      <c r="CM61" s="20" t="s">
        <v>10</v>
      </c>
      <c r="CN61" s="20"/>
      <c r="CO61" s="22"/>
      <c r="CP61" s="22"/>
      <c r="CQ61" s="22"/>
      <c r="CR61" s="22"/>
      <c r="CS61" s="21">
        <f>AVEDEV(CS50:CS59)</f>
        <v>714.40200000000004</v>
      </c>
      <c r="CT61" s="47"/>
      <c r="CV61" s="20" t="s">
        <v>10</v>
      </c>
      <c r="CW61" s="20"/>
      <c r="CX61" s="22"/>
      <c r="CY61" s="22"/>
      <c r="CZ61" s="22"/>
      <c r="DA61" s="22"/>
      <c r="DB61" s="21">
        <f>AVEDEV(DB50:DB59)</f>
        <v>495.83910204081633</v>
      </c>
      <c r="DC61" s="47"/>
      <c r="DE61" s="20" t="s">
        <v>10</v>
      </c>
      <c r="DF61" s="20"/>
      <c r="DG61" s="22"/>
      <c r="DH61" s="22"/>
      <c r="DI61" s="22"/>
      <c r="DJ61" s="22"/>
      <c r="DK61" s="21">
        <f>AVEDEV(DK50:DK59)</f>
        <v>840.22922285714287</v>
      </c>
      <c r="DL61" s="47"/>
      <c r="DN61" s="20" t="s">
        <v>10</v>
      </c>
      <c r="DO61" s="20"/>
      <c r="DP61" s="22"/>
      <c r="DQ61" s="22"/>
      <c r="DR61" s="22"/>
      <c r="DS61" s="22"/>
      <c r="DT61" s="21">
        <f>AVEDEV(DT50:DT59)</f>
        <v>740.37166666666678</v>
      </c>
      <c r="DU61" s="47"/>
    </row>
    <row r="63" spans="1:128" x14ac:dyDescent="0.25">
      <c r="AD63" s="95"/>
      <c r="AE63" s="96"/>
      <c r="AF63" s="96"/>
      <c r="AG63" s="96"/>
    </row>
    <row r="64" spans="1:128" x14ac:dyDescent="0.25">
      <c r="A64" s="48" t="s">
        <v>13</v>
      </c>
      <c r="B64" s="48"/>
      <c r="G64" s="5" t="s">
        <v>17</v>
      </c>
      <c r="J64" s="48" t="s">
        <v>13</v>
      </c>
      <c r="K64" s="48"/>
      <c r="P64" s="5" t="s">
        <v>18</v>
      </c>
      <c r="S64" s="48" t="s">
        <v>13</v>
      </c>
      <c r="T64" s="48"/>
      <c r="Y64" s="5" t="s">
        <v>51</v>
      </c>
      <c r="AB64" s="48" t="s">
        <v>13</v>
      </c>
      <c r="AC64" s="48"/>
      <c r="AD64" s="95"/>
      <c r="AE64" s="95"/>
      <c r="AF64" s="95"/>
      <c r="AG64" s="95"/>
      <c r="AH64" s="5"/>
      <c r="AK64" s="48" t="s">
        <v>13</v>
      </c>
      <c r="AL64" s="48"/>
      <c r="AQ64" s="5"/>
      <c r="AT64" s="48" t="s">
        <v>13</v>
      </c>
      <c r="AU64" s="48"/>
      <c r="AZ64" s="5"/>
      <c r="BC64" s="48" t="s">
        <v>13</v>
      </c>
      <c r="BD64" s="48"/>
      <c r="BL64" s="48" t="s">
        <v>13</v>
      </c>
      <c r="BM64" s="48"/>
      <c r="BR64" s="5"/>
      <c r="BU64" s="48" t="s">
        <v>13</v>
      </c>
      <c r="BV64" s="48"/>
      <c r="CA64" s="5"/>
      <c r="CD64" s="48" t="s">
        <v>13</v>
      </c>
      <c r="CE64" s="48"/>
      <c r="CJ64" s="5"/>
      <c r="CM64" s="48" t="s">
        <v>13</v>
      </c>
      <c r="CN64" s="48"/>
      <c r="CS64" s="5"/>
      <c r="CV64" s="48" t="s">
        <v>13</v>
      </c>
      <c r="CW64" s="48"/>
      <c r="DB64" s="5"/>
      <c r="DE64" s="48" t="s">
        <v>13</v>
      </c>
      <c r="DF64" s="48"/>
      <c r="DK64" s="5"/>
      <c r="DN64" s="48" t="s">
        <v>13</v>
      </c>
      <c r="DO64" s="48"/>
      <c r="DT64" s="5"/>
    </row>
    <row r="65" spans="1:128" x14ac:dyDescent="0.25">
      <c r="A65" s="49"/>
      <c r="B65" s="49"/>
      <c r="G65" s="7" t="s">
        <v>23</v>
      </c>
      <c r="J65" s="49"/>
      <c r="K65" s="49"/>
      <c r="P65" s="7" t="s">
        <v>43</v>
      </c>
      <c r="S65" s="49"/>
      <c r="T65" s="49"/>
      <c r="Y65" s="7" t="s">
        <v>50</v>
      </c>
      <c r="AB65" s="49"/>
      <c r="AC65" s="49"/>
      <c r="AH65" s="7" t="s">
        <v>58</v>
      </c>
      <c r="AK65" s="49"/>
      <c r="AL65" s="49"/>
      <c r="AQ65" s="7" t="s">
        <v>63</v>
      </c>
      <c r="AT65" s="49"/>
      <c r="AU65" s="49"/>
      <c r="AZ65" s="7" t="s">
        <v>66</v>
      </c>
      <c r="BC65" s="49"/>
      <c r="BD65" s="49"/>
      <c r="BI65" s="7" t="s">
        <v>69</v>
      </c>
      <c r="BL65" s="49"/>
      <c r="BM65" s="49"/>
      <c r="BR65" s="7" t="s">
        <v>71</v>
      </c>
      <c r="BU65" s="49"/>
      <c r="BV65" s="49"/>
      <c r="CA65" s="7" t="s">
        <v>75</v>
      </c>
      <c r="CD65" s="49"/>
      <c r="CE65" s="49"/>
      <c r="CJ65" s="7" t="s">
        <v>77</v>
      </c>
      <c r="CM65" s="49"/>
      <c r="CN65" s="49"/>
      <c r="CS65" s="7" t="s">
        <v>81</v>
      </c>
      <c r="CV65" s="49"/>
      <c r="CW65" s="49"/>
      <c r="DB65" s="7" t="s">
        <v>84</v>
      </c>
      <c r="DE65" s="49"/>
      <c r="DF65" s="49"/>
      <c r="DK65" s="7" t="s">
        <v>86</v>
      </c>
      <c r="DN65" s="49"/>
      <c r="DO65" s="49"/>
      <c r="DT65" s="7" t="s">
        <v>88</v>
      </c>
    </row>
    <row r="66" spans="1:128" x14ac:dyDescent="0.25">
      <c r="A66" s="48" t="s">
        <v>27</v>
      </c>
      <c r="B66" s="48"/>
      <c r="J66" s="48" t="s">
        <v>27</v>
      </c>
      <c r="K66" s="48"/>
      <c r="S66" s="48" t="s">
        <v>27</v>
      </c>
      <c r="T66" s="48"/>
      <c r="AB66" s="48" t="s">
        <v>27</v>
      </c>
      <c r="AC66" s="48"/>
      <c r="AK66" s="48" t="s">
        <v>27</v>
      </c>
      <c r="AL66" s="48"/>
      <c r="AT66" s="48" t="s">
        <v>27</v>
      </c>
      <c r="AU66" s="48"/>
      <c r="BC66" s="48" t="s">
        <v>27</v>
      </c>
      <c r="BD66" s="48"/>
      <c r="BL66" s="48" t="s">
        <v>27</v>
      </c>
      <c r="BM66" s="48"/>
      <c r="BU66" s="48" t="s">
        <v>27</v>
      </c>
      <c r="BV66" s="48"/>
      <c r="CD66" s="48" t="s">
        <v>27</v>
      </c>
      <c r="CE66" s="48"/>
      <c r="CM66" s="48" t="s">
        <v>27</v>
      </c>
      <c r="CN66" s="48"/>
      <c r="CV66" s="48" t="s">
        <v>27</v>
      </c>
      <c r="CW66" s="48"/>
      <c r="DE66" s="48" t="s">
        <v>27</v>
      </c>
      <c r="DF66" s="48"/>
      <c r="DN66" s="48" t="s">
        <v>27</v>
      </c>
      <c r="DO66" s="48"/>
    </row>
    <row r="67" spans="1:128" x14ac:dyDescent="0.25">
      <c r="A67" s="49"/>
      <c r="B67" s="49"/>
      <c r="C67" s="9">
        <v>45810</v>
      </c>
      <c r="J67" s="49"/>
      <c r="K67" s="49"/>
      <c r="L67" s="9">
        <v>45813</v>
      </c>
      <c r="S67" s="49"/>
      <c r="T67" s="49"/>
      <c r="U67" s="9">
        <v>45816</v>
      </c>
      <c r="AB67" s="49"/>
      <c r="AC67" s="49"/>
      <c r="AD67" s="9">
        <v>45819</v>
      </c>
      <c r="AE67" s="9"/>
      <c r="AF67" s="9"/>
      <c r="AG67" s="9"/>
      <c r="AK67" s="49"/>
      <c r="AL67" s="49"/>
      <c r="AM67" s="9">
        <v>45822</v>
      </c>
      <c r="AT67" s="49"/>
      <c r="AU67" s="49"/>
      <c r="AV67" s="9">
        <v>45825</v>
      </c>
      <c r="BC67" s="49"/>
      <c r="BD67" s="49"/>
      <c r="BE67" s="9">
        <v>45828</v>
      </c>
      <c r="BF67" s="9"/>
      <c r="BG67" s="9"/>
      <c r="BH67" s="9"/>
      <c r="BL67" s="49"/>
      <c r="BM67" s="49"/>
      <c r="BN67" s="9">
        <v>45832</v>
      </c>
      <c r="BO67" s="9"/>
      <c r="BP67" s="9"/>
      <c r="BQ67" s="9"/>
      <c r="BU67" s="49"/>
      <c r="BV67" s="49"/>
      <c r="BW67" s="9">
        <v>45836</v>
      </c>
      <c r="CD67" s="49"/>
      <c r="CE67" s="49"/>
      <c r="CF67" s="9">
        <v>45839</v>
      </c>
      <c r="CM67" s="49"/>
      <c r="CN67" s="49"/>
      <c r="CO67" s="9">
        <v>45844</v>
      </c>
      <c r="CV67" s="49"/>
      <c r="CW67" s="49"/>
      <c r="CX67" s="9">
        <v>45849</v>
      </c>
      <c r="DE67" s="49"/>
      <c r="DF67" s="49"/>
      <c r="DG67" s="9">
        <v>45855</v>
      </c>
      <c r="DN67" s="49"/>
      <c r="DO67" s="49"/>
      <c r="DP67" s="9">
        <v>45859</v>
      </c>
    </row>
    <row r="68" spans="1:128" x14ac:dyDescent="0.25">
      <c r="A68" s="50"/>
      <c r="B68" s="50"/>
      <c r="C68" s="11"/>
      <c r="D68" s="11" t="s">
        <v>3</v>
      </c>
      <c r="E68" s="11" t="s">
        <v>4</v>
      </c>
      <c r="F68" s="11" t="s">
        <v>5</v>
      </c>
      <c r="G68" s="51" t="s">
        <v>6</v>
      </c>
      <c r="H68" s="52" t="s">
        <v>7</v>
      </c>
      <c r="J68" s="50"/>
      <c r="K68" s="50"/>
      <c r="L68" s="11"/>
      <c r="M68" s="11" t="s">
        <v>3</v>
      </c>
      <c r="N68" s="11" t="s">
        <v>4</v>
      </c>
      <c r="O68" s="11" t="s">
        <v>5</v>
      </c>
      <c r="P68" s="51" t="s">
        <v>6</v>
      </c>
      <c r="Q68" s="52" t="s">
        <v>7</v>
      </c>
      <c r="S68" s="50"/>
      <c r="T68" s="50"/>
      <c r="U68" s="11"/>
      <c r="V68" s="11" t="s">
        <v>3</v>
      </c>
      <c r="W68" s="11" t="s">
        <v>4</v>
      </c>
      <c r="X68" s="11" t="s">
        <v>5</v>
      </c>
      <c r="Y68" s="51" t="s">
        <v>6</v>
      </c>
      <c r="Z68" s="52" t="s">
        <v>7</v>
      </c>
      <c r="AB68" s="50"/>
      <c r="AC68" s="50"/>
      <c r="AD68" s="11"/>
      <c r="AE68" s="11" t="s">
        <v>3</v>
      </c>
      <c r="AF68" s="11" t="s">
        <v>4</v>
      </c>
      <c r="AG68" s="11" t="s">
        <v>5</v>
      </c>
      <c r="AH68" s="51" t="s">
        <v>6</v>
      </c>
      <c r="AI68" s="52" t="s">
        <v>7</v>
      </c>
      <c r="AK68" s="50"/>
      <c r="AL68" s="50"/>
      <c r="AM68" s="11"/>
      <c r="AN68" s="11" t="s">
        <v>3</v>
      </c>
      <c r="AO68" s="11" t="s">
        <v>4</v>
      </c>
      <c r="AP68" s="11" t="s">
        <v>5</v>
      </c>
      <c r="AQ68" s="51" t="s">
        <v>6</v>
      </c>
      <c r="AR68" s="52" t="s">
        <v>7</v>
      </c>
      <c r="AT68" s="50"/>
      <c r="AU68" s="50"/>
      <c r="AV68" s="11"/>
      <c r="AW68" s="11" t="s">
        <v>3</v>
      </c>
      <c r="AX68" s="11" t="s">
        <v>4</v>
      </c>
      <c r="AY68" s="11" t="s">
        <v>5</v>
      </c>
      <c r="AZ68" s="51" t="s">
        <v>6</v>
      </c>
      <c r="BA68" s="52" t="s">
        <v>7</v>
      </c>
      <c r="BC68" s="50"/>
      <c r="BD68" s="50"/>
      <c r="BE68" s="11"/>
      <c r="BF68" s="11" t="s">
        <v>3</v>
      </c>
      <c r="BG68" s="11" t="s">
        <v>4</v>
      </c>
      <c r="BH68" s="11" t="s">
        <v>5</v>
      </c>
      <c r="BI68" s="51" t="s">
        <v>6</v>
      </c>
      <c r="BJ68" s="52" t="s">
        <v>7</v>
      </c>
      <c r="BL68" s="50"/>
      <c r="BM68" s="50"/>
      <c r="BN68" s="11"/>
      <c r="BO68" s="11" t="s">
        <v>3</v>
      </c>
      <c r="BP68" s="11" t="s">
        <v>4</v>
      </c>
      <c r="BQ68" s="11" t="s">
        <v>5</v>
      </c>
      <c r="BR68" s="51" t="s">
        <v>6</v>
      </c>
      <c r="BS68" s="52"/>
      <c r="BU68" s="50"/>
      <c r="BV68" s="50"/>
      <c r="BW68" s="11"/>
      <c r="BX68" s="11" t="s">
        <v>3</v>
      </c>
      <c r="BY68" s="11" t="s">
        <v>4</v>
      </c>
      <c r="BZ68" s="11" t="s">
        <v>5</v>
      </c>
      <c r="CA68" s="51" t="s">
        <v>6</v>
      </c>
      <c r="CB68" s="52"/>
      <c r="CD68" s="50"/>
      <c r="CE68" s="50"/>
      <c r="CF68" s="11"/>
      <c r="CG68" s="11" t="s">
        <v>3</v>
      </c>
      <c r="CH68" s="11" t="s">
        <v>4</v>
      </c>
      <c r="CI68" s="11" t="s">
        <v>5</v>
      </c>
      <c r="CJ68" s="51" t="s">
        <v>6</v>
      </c>
      <c r="CK68" s="52"/>
      <c r="CM68" s="50"/>
      <c r="CN68" s="50"/>
      <c r="CO68" s="11"/>
      <c r="CP68" s="11" t="s">
        <v>3</v>
      </c>
      <c r="CQ68" s="11" t="s">
        <v>4</v>
      </c>
      <c r="CR68" s="11" t="s">
        <v>5</v>
      </c>
      <c r="CS68" s="51" t="s">
        <v>6</v>
      </c>
      <c r="CT68" s="52"/>
      <c r="CV68" s="50"/>
      <c r="CW68" s="50"/>
      <c r="CX68" s="11"/>
      <c r="CY68" s="11" t="s">
        <v>3</v>
      </c>
      <c r="CZ68" s="11" t="s">
        <v>4</v>
      </c>
      <c r="DA68" s="11" t="s">
        <v>5</v>
      </c>
      <c r="DB68" s="51" t="s">
        <v>6</v>
      </c>
      <c r="DC68" s="52"/>
      <c r="DE68" s="50"/>
      <c r="DF68" s="50"/>
      <c r="DG68" s="11"/>
      <c r="DH68" s="11" t="s">
        <v>3</v>
      </c>
      <c r="DI68" s="11" t="s">
        <v>4</v>
      </c>
      <c r="DJ68" s="11" t="s">
        <v>5</v>
      </c>
      <c r="DK68" s="51" t="s">
        <v>6</v>
      </c>
      <c r="DL68" s="52"/>
      <c r="DN68" s="50"/>
      <c r="DO68" s="50"/>
      <c r="DP68" s="11"/>
      <c r="DQ68" s="11" t="s">
        <v>3</v>
      </c>
      <c r="DR68" s="11" t="s">
        <v>4</v>
      </c>
      <c r="DS68" s="11" t="s">
        <v>5</v>
      </c>
      <c r="DT68" s="51" t="s">
        <v>6</v>
      </c>
      <c r="DU68" s="52"/>
    </row>
    <row r="69" spans="1:128" x14ac:dyDescent="0.25">
      <c r="A69" s="50">
        <v>1</v>
      </c>
      <c r="B69" s="50">
        <v>1</v>
      </c>
      <c r="C69" s="11"/>
      <c r="D69" s="18">
        <v>5</v>
      </c>
      <c r="E69" s="15">
        <v>5</v>
      </c>
      <c r="F69" s="15">
        <v>3</v>
      </c>
      <c r="G69" s="53">
        <f>D69*E69*F69*0.52</f>
        <v>39</v>
      </c>
      <c r="H69" s="53"/>
      <c r="J69" s="50">
        <v>1</v>
      </c>
      <c r="K69" s="50">
        <v>1</v>
      </c>
      <c r="L69" s="11"/>
      <c r="M69" s="18">
        <v>6</v>
      </c>
      <c r="N69" s="15">
        <v>6</v>
      </c>
      <c r="O69" s="15">
        <v>3.4</v>
      </c>
      <c r="P69" s="53">
        <f>M69*N69*O69*0.52</f>
        <v>63.647999999999996</v>
      </c>
      <c r="Q69" s="53"/>
      <c r="S69" s="50">
        <v>1</v>
      </c>
      <c r="T69" s="50">
        <v>1</v>
      </c>
      <c r="U69" s="11"/>
      <c r="V69" s="18">
        <v>6</v>
      </c>
      <c r="W69" s="15">
        <v>5.8</v>
      </c>
      <c r="X69" s="15">
        <v>3.9</v>
      </c>
      <c r="Y69" s="53">
        <f>V69*W69*X69*0.52</f>
        <v>70.574399999999997</v>
      </c>
      <c r="Z69" s="53"/>
      <c r="AB69" s="50">
        <v>1</v>
      </c>
      <c r="AC69" s="50">
        <v>1</v>
      </c>
      <c r="AD69" s="11"/>
      <c r="AE69" s="18">
        <v>5.7</v>
      </c>
      <c r="AF69" s="15">
        <v>6.6</v>
      </c>
      <c r="AG69" s="15">
        <v>4.3</v>
      </c>
      <c r="AH69" s="53">
        <f>AE69*AF69*AG69*0.52</f>
        <v>84.118319999999997</v>
      </c>
      <c r="AI69" s="53"/>
      <c r="AK69" s="50">
        <v>1</v>
      </c>
      <c r="AL69" s="50">
        <v>1</v>
      </c>
      <c r="AM69" s="11"/>
      <c r="AN69" s="18">
        <v>8.4</v>
      </c>
      <c r="AO69" s="15">
        <v>8.3000000000000007</v>
      </c>
      <c r="AP69" s="15">
        <v>7.2</v>
      </c>
      <c r="AQ69" s="53">
        <f>AN69*AO69*AP69*0.52</f>
        <v>261.03168000000005</v>
      </c>
      <c r="AR69" s="53"/>
      <c r="AT69" s="50">
        <v>1</v>
      </c>
      <c r="AU69" s="50">
        <v>1</v>
      </c>
      <c r="AV69" s="11"/>
      <c r="AW69" s="18">
        <v>9</v>
      </c>
      <c r="AX69" s="15">
        <v>10.4</v>
      </c>
      <c r="AY69" s="15">
        <v>8</v>
      </c>
      <c r="AZ69" s="53">
        <f>AW69*AX69*AY69*0.52</f>
        <v>389.37600000000003</v>
      </c>
      <c r="BA69" s="53"/>
      <c r="BC69" s="50">
        <v>1</v>
      </c>
      <c r="BD69" s="50">
        <v>1</v>
      </c>
      <c r="BE69" s="11"/>
      <c r="BF69" s="18">
        <v>10.6</v>
      </c>
      <c r="BG69" s="15">
        <v>14.7</v>
      </c>
      <c r="BH69" s="15">
        <v>8.1999999999999993</v>
      </c>
      <c r="BI69" s="53">
        <f>BF69*BG69*BH69*0.52</f>
        <v>664.41647999999998</v>
      </c>
      <c r="BJ69" s="53"/>
      <c r="BL69" s="50">
        <v>1</v>
      </c>
      <c r="BM69" s="50">
        <v>1</v>
      </c>
      <c r="BN69" s="11"/>
      <c r="BO69" s="18">
        <v>15.6</v>
      </c>
      <c r="BP69" s="15">
        <v>15.6</v>
      </c>
      <c r="BQ69" s="15">
        <v>9</v>
      </c>
      <c r="BR69" s="53">
        <f>BO69*BP69*BQ69*0.52</f>
        <v>1138.9248</v>
      </c>
      <c r="BS69" s="53"/>
      <c r="BU69" s="50">
        <v>1</v>
      </c>
      <c r="BV69" s="50">
        <v>1</v>
      </c>
      <c r="BW69" s="11"/>
      <c r="BX69" s="18">
        <v>19</v>
      </c>
      <c r="BY69" s="15">
        <v>15</v>
      </c>
      <c r="BZ69" s="15">
        <v>12</v>
      </c>
      <c r="CA69" s="53">
        <f>BX69*BY69*BZ69*0.52</f>
        <v>1778.4</v>
      </c>
      <c r="CB69" s="53"/>
      <c r="CD69" s="50">
        <v>1</v>
      </c>
      <c r="CE69" s="50">
        <v>1</v>
      </c>
      <c r="CF69" s="11"/>
      <c r="CG69" s="18">
        <v>21.9</v>
      </c>
      <c r="CH69" s="15">
        <v>19.7</v>
      </c>
      <c r="CI69" s="15">
        <v>13.5</v>
      </c>
      <c r="CJ69" s="82">
        <f>CG69*CH69*CI69*0.52</f>
        <v>3028.6385999999998</v>
      </c>
      <c r="CK69" s="53" t="s">
        <v>78</v>
      </c>
      <c r="CM69" s="50">
        <v>1</v>
      </c>
      <c r="CN69" s="50">
        <v>1</v>
      </c>
      <c r="CO69" s="11"/>
      <c r="CP69" s="84"/>
      <c r="CQ69" s="83"/>
      <c r="CR69" s="83"/>
      <c r="CS69" s="82"/>
      <c r="CT69" s="53" t="s">
        <v>78</v>
      </c>
      <c r="CV69" s="50">
        <v>1</v>
      </c>
      <c r="CW69" s="50">
        <v>1</v>
      </c>
      <c r="CX69" s="11"/>
      <c r="CY69" s="84"/>
      <c r="CZ69" s="83"/>
      <c r="DA69" s="83"/>
      <c r="DB69" s="82"/>
      <c r="DC69" s="53" t="s">
        <v>78</v>
      </c>
      <c r="DE69" s="50">
        <v>1</v>
      </c>
      <c r="DF69" s="50">
        <v>1</v>
      </c>
      <c r="DG69" s="11"/>
      <c r="DH69" s="84"/>
      <c r="DI69" s="83"/>
      <c r="DJ69" s="83"/>
      <c r="DK69" s="82"/>
      <c r="DL69" s="53" t="s">
        <v>78</v>
      </c>
      <c r="DN69" s="50">
        <v>1</v>
      </c>
      <c r="DO69" s="50">
        <v>1</v>
      </c>
      <c r="DP69" s="11"/>
      <c r="DQ69" s="84"/>
      <c r="DR69" s="83"/>
      <c r="DS69" s="83"/>
      <c r="DT69" s="82"/>
      <c r="DU69" s="53" t="s">
        <v>78</v>
      </c>
      <c r="DX69">
        <v>33</v>
      </c>
    </row>
    <row r="70" spans="1:128" x14ac:dyDescent="0.25">
      <c r="A70" s="50">
        <v>2</v>
      </c>
      <c r="B70" s="50">
        <v>2</v>
      </c>
      <c r="C70" s="11"/>
      <c r="D70" s="15">
        <v>4</v>
      </c>
      <c r="E70" s="15">
        <v>4</v>
      </c>
      <c r="F70" s="15">
        <v>3</v>
      </c>
      <c r="G70" s="53">
        <f t="shared" ref="G70:G77" si="43">D70*E70*F70*0.52</f>
        <v>24.96</v>
      </c>
      <c r="H70" s="53"/>
      <c r="J70" s="50">
        <v>2</v>
      </c>
      <c r="K70" s="50">
        <v>2</v>
      </c>
      <c r="L70" s="11"/>
      <c r="M70" s="15">
        <v>5</v>
      </c>
      <c r="N70" s="15">
        <v>5</v>
      </c>
      <c r="O70" s="15">
        <v>3</v>
      </c>
      <c r="P70" s="53">
        <f t="shared" ref="P70:P77" si="44">M70*N70*O70*0.52</f>
        <v>39</v>
      </c>
      <c r="Q70" s="53"/>
      <c r="S70" s="50">
        <v>2</v>
      </c>
      <c r="T70" s="50">
        <v>2</v>
      </c>
      <c r="U70" s="11"/>
      <c r="V70" s="15">
        <v>4</v>
      </c>
      <c r="W70" s="15">
        <v>4</v>
      </c>
      <c r="X70" s="15">
        <v>3</v>
      </c>
      <c r="Y70" s="53">
        <f t="shared" ref="Y70:Y77" si="45">V70*W70*X70*0.52</f>
        <v>24.96</v>
      </c>
      <c r="Z70" s="53"/>
      <c r="AB70" s="50">
        <v>2</v>
      </c>
      <c r="AC70" s="50">
        <v>2</v>
      </c>
      <c r="AD70" s="11"/>
      <c r="AE70" s="15">
        <v>5</v>
      </c>
      <c r="AF70" s="15">
        <v>5</v>
      </c>
      <c r="AG70" s="15">
        <v>5</v>
      </c>
      <c r="AH70" s="53">
        <f t="shared" ref="AH70:AH77" si="46">AE70*AF70*AG70*0.52</f>
        <v>65</v>
      </c>
      <c r="AI70" s="53"/>
      <c r="AK70" s="50">
        <v>2</v>
      </c>
      <c r="AL70" s="50">
        <v>2</v>
      </c>
      <c r="AM70" s="11"/>
      <c r="AN70" s="15">
        <v>7</v>
      </c>
      <c r="AO70" s="15">
        <v>7</v>
      </c>
      <c r="AP70" s="15">
        <v>5.8</v>
      </c>
      <c r="AQ70" s="53">
        <f t="shared" ref="AQ70:AQ77" si="47">AN70*AO70*AP70*0.52</f>
        <v>147.78399999999999</v>
      </c>
      <c r="AR70" s="53"/>
      <c r="AT70" s="50">
        <v>2</v>
      </c>
      <c r="AU70" s="50">
        <v>2</v>
      </c>
      <c r="AV70" s="11"/>
      <c r="AW70" s="15">
        <v>9.3000000000000007</v>
      </c>
      <c r="AX70" s="15">
        <v>8.3000000000000007</v>
      </c>
      <c r="AY70" s="15">
        <v>6.5</v>
      </c>
      <c r="AZ70" s="53">
        <f t="shared" ref="AZ70:AZ77" si="48">AW70*AX70*AY70*0.52</f>
        <v>260.90220000000005</v>
      </c>
      <c r="BA70" s="53"/>
      <c r="BC70" s="50">
        <v>2</v>
      </c>
      <c r="BD70" s="50">
        <v>2</v>
      </c>
      <c r="BE70" s="11"/>
      <c r="BF70" s="15">
        <v>12.1</v>
      </c>
      <c r="BG70" s="15">
        <v>11.8</v>
      </c>
      <c r="BH70" s="15">
        <v>7.6</v>
      </c>
      <c r="BI70" s="53">
        <f t="shared" ref="BI70:BI77" si="49">BF70*BG70*BH70*0.52</f>
        <v>564.26656000000003</v>
      </c>
      <c r="BJ70" s="53"/>
      <c r="BL70" s="50">
        <v>2</v>
      </c>
      <c r="BM70" s="50">
        <v>2</v>
      </c>
      <c r="BN70" s="11"/>
      <c r="BO70" s="15">
        <v>13</v>
      </c>
      <c r="BP70" s="15">
        <v>15</v>
      </c>
      <c r="BQ70" s="15">
        <v>10</v>
      </c>
      <c r="BR70" s="53">
        <f t="shared" ref="BR70:BR77" si="50">BO70*BP70*BQ70*0.52</f>
        <v>1014</v>
      </c>
      <c r="BS70" s="53"/>
      <c r="BU70" s="50">
        <v>2</v>
      </c>
      <c r="BV70" s="50">
        <v>2</v>
      </c>
      <c r="BW70" s="11"/>
      <c r="BX70" s="15">
        <v>21</v>
      </c>
      <c r="BY70" s="15">
        <v>18.7</v>
      </c>
      <c r="BZ70" s="15">
        <v>12</v>
      </c>
      <c r="CA70" s="76">
        <f t="shared" ref="CA70:CA77" si="51">BX70*BY70*BZ70*0.52</f>
        <v>2450.4479999999999</v>
      </c>
      <c r="CB70" s="53" t="s">
        <v>74</v>
      </c>
      <c r="CD70" s="50">
        <v>2</v>
      </c>
      <c r="CE70" s="50">
        <v>2</v>
      </c>
      <c r="CF70" s="11"/>
      <c r="CG70" s="77"/>
      <c r="CH70" s="77"/>
      <c r="CI70" s="77"/>
      <c r="CJ70" s="76"/>
      <c r="CK70" s="53" t="s">
        <v>74</v>
      </c>
      <c r="CM70" s="50">
        <v>2</v>
      </c>
      <c r="CN70" s="50">
        <v>2</v>
      </c>
      <c r="CO70" s="11"/>
      <c r="CP70" s="77"/>
      <c r="CQ70" s="77"/>
      <c r="CR70" s="77"/>
      <c r="CS70" s="76"/>
      <c r="CT70" s="53" t="s">
        <v>74</v>
      </c>
      <c r="CV70" s="50">
        <v>2</v>
      </c>
      <c r="CW70" s="50">
        <v>2</v>
      </c>
      <c r="CX70" s="11"/>
      <c r="CY70" s="77"/>
      <c r="CZ70" s="77"/>
      <c r="DA70" s="77"/>
      <c r="DB70" s="76"/>
      <c r="DC70" s="53" t="s">
        <v>74</v>
      </c>
      <c r="DE70" s="50">
        <v>2</v>
      </c>
      <c r="DF70" s="50">
        <v>2</v>
      </c>
      <c r="DG70" s="11"/>
      <c r="DH70" s="77"/>
      <c r="DI70" s="77"/>
      <c r="DJ70" s="77"/>
      <c r="DK70" s="76"/>
      <c r="DL70" s="53" t="s">
        <v>74</v>
      </c>
      <c r="DN70" s="50">
        <v>2</v>
      </c>
      <c r="DO70" s="50">
        <v>2</v>
      </c>
      <c r="DP70" s="11"/>
      <c r="DQ70" s="77"/>
      <c r="DR70" s="77"/>
      <c r="DS70" s="77"/>
      <c r="DT70" s="76"/>
      <c r="DU70" s="53" t="s">
        <v>74</v>
      </c>
      <c r="DX70">
        <v>33</v>
      </c>
    </row>
    <row r="71" spans="1:128" x14ac:dyDescent="0.25">
      <c r="A71" s="50">
        <v>3</v>
      </c>
      <c r="B71" s="50">
        <v>3</v>
      </c>
      <c r="C71" s="11"/>
      <c r="D71" s="18">
        <v>6</v>
      </c>
      <c r="E71" s="15">
        <v>4</v>
      </c>
      <c r="F71" s="15">
        <v>3</v>
      </c>
      <c r="G71" s="53">
        <f t="shared" si="43"/>
        <v>37.44</v>
      </c>
      <c r="H71" s="53"/>
      <c r="J71" s="50">
        <v>3</v>
      </c>
      <c r="K71" s="50">
        <v>3</v>
      </c>
      <c r="L71" s="11"/>
      <c r="M71" s="18">
        <v>6</v>
      </c>
      <c r="N71" s="15">
        <v>4</v>
      </c>
      <c r="O71" s="15">
        <v>3</v>
      </c>
      <c r="P71" s="53">
        <f t="shared" si="44"/>
        <v>37.44</v>
      </c>
      <c r="Q71" s="53"/>
      <c r="S71" s="50">
        <v>3</v>
      </c>
      <c r="T71" s="50">
        <v>3</v>
      </c>
      <c r="U71" s="11"/>
      <c r="V71" s="18">
        <v>9</v>
      </c>
      <c r="W71" s="15">
        <v>5</v>
      </c>
      <c r="X71" s="15">
        <v>3.1</v>
      </c>
      <c r="Y71" s="53">
        <f t="shared" si="45"/>
        <v>72.540000000000006</v>
      </c>
      <c r="Z71" s="53"/>
      <c r="AB71" s="50">
        <v>3</v>
      </c>
      <c r="AC71" s="50">
        <v>3</v>
      </c>
      <c r="AD71" s="11"/>
      <c r="AE71" s="18">
        <v>7.5</v>
      </c>
      <c r="AF71" s="15">
        <v>6.1</v>
      </c>
      <c r="AG71" s="15">
        <v>4.3</v>
      </c>
      <c r="AH71" s="53">
        <f t="shared" si="46"/>
        <v>102.297</v>
      </c>
      <c r="AI71" s="53"/>
      <c r="AK71" s="50">
        <v>3</v>
      </c>
      <c r="AL71" s="50">
        <v>3</v>
      </c>
      <c r="AM71" s="11"/>
      <c r="AN71" s="18">
        <v>12</v>
      </c>
      <c r="AO71" s="15">
        <v>7.8</v>
      </c>
      <c r="AP71" s="15">
        <v>6.8</v>
      </c>
      <c r="AQ71" s="53">
        <f t="shared" si="47"/>
        <v>330.96959999999996</v>
      </c>
      <c r="AR71" s="53"/>
      <c r="AT71" s="50">
        <v>3</v>
      </c>
      <c r="AU71" s="50">
        <v>3</v>
      </c>
      <c r="AV71" s="11"/>
      <c r="AW71" s="18">
        <v>14.9</v>
      </c>
      <c r="AX71" s="15">
        <v>8.9</v>
      </c>
      <c r="AY71" s="15">
        <v>7.6</v>
      </c>
      <c r="AZ71" s="53">
        <f t="shared" si="48"/>
        <v>524.07472000000007</v>
      </c>
      <c r="BA71" s="53"/>
      <c r="BC71" s="50">
        <v>3</v>
      </c>
      <c r="BD71" s="50">
        <v>3</v>
      </c>
      <c r="BE71" s="11"/>
      <c r="BF71" s="18">
        <v>18</v>
      </c>
      <c r="BG71" s="15">
        <v>11.9</v>
      </c>
      <c r="BH71" s="15">
        <v>10.7</v>
      </c>
      <c r="BI71" s="53">
        <f t="shared" si="49"/>
        <v>1191.8088</v>
      </c>
      <c r="BJ71" s="53"/>
      <c r="BL71" s="50">
        <v>3</v>
      </c>
      <c r="BM71" s="50">
        <v>3</v>
      </c>
      <c r="BN71" s="11"/>
      <c r="BO71" s="18">
        <v>21</v>
      </c>
      <c r="BP71" s="15">
        <v>14.5</v>
      </c>
      <c r="BQ71" s="15">
        <v>12</v>
      </c>
      <c r="BR71" s="53">
        <f t="shared" si="50"/>
        <v>1900.0800000000002</v>
      </c>
      <c r="BS71" s="53"/>
      <c r="BU71" s="50">
        <v>3</v>
      </c>
      <c r="BV71" s="50">
        <v>3</v>
      </c>
      <c r="BW71" s="11"/>
      <c r="BX71" s="18">
        <v>27</v>
      </c>
      <c r="BY71" s="15">
        <v>17</v>
      </c>
      <c r="BZ71" s="15">
        <v>12.5</v>
      </c>
      <c r="CA71" s="76">
        <f t="shared" si="51"/>
        <v>2983.5</v>
      </c>
      <c r="CB71" s="53" t="s">
        <v>74</v>
      </c>
      <c r="CD71" s="50">
        <v>3</v>
      </c>
      <c r="CE71" s="50">
        <v>3</v>
      </c>
      <c r="CF71" s="11"/>
      <c r="CG71" s="80"/>
      <c r="CH71" s="77"/>
      <c r="CI71" s="77"/>
      <c r="CJ71" s="76"/>
      <c r="CK71" s="53" t="s">
        <v>74</v>
      </c>
      <c r="CM71" s="50">
        <v>3</v>
      </c>
      <c r="CN71" s="50">
        <v>3</v>
      </c>
      <c r="CO71" s="11"/>
      <c r="CP71" s="80"/>
      <c r="CQ71" s="77"/>
      <c r="CR71" s="77"/>
      <c r="CS71" s="76"/>
      <c r="CT71" s="53" t="s">
        <v>74</v>
      </c>
      <c r="CV71" s="50">
        <v>3</v>
      </c>
      <c r="CW71" s="50">
        <v>3</v>
      </c>
      <c r="CX71" s="11"/>
      <c r="CY71" s="80"/>
      <c r="CZ71" s="77"/>
      <c r="DA71" s="77"/>
      <c r="DB71" s="76"/>
      <c r="DC71" s="53" t="s">
        <v>74</v>
      </c>
      <c r="DE71" s="50">
        <v>3</v>
      </c>
      <c r="DF71" s="50">
        <v>3</v>
      </c>
      <c r="DG71" s="11"/>
      <c r="DH71" s="80"/>
      <c r="DI71" s="77"/>
      <c r="DJ71" s="77"/>
      <c r="DK71" s="76"/>
      <c r="DL71" s="53" t="s">
        <v>74</v>
      </c>
      <c r="DN71" s="50">
        <v>3</v>
      </c>
      <c r="DO71" s="50">
        <v>3</v>
      </c>
      <c r="DP71" s="11"/>
      <c r="DQ71" s="80"/>
      <c r="DR71" s="77"/>
      <c r="DS71" s="77"/>
      <c r="DT71" s="76"/>
      <c r="DU71" s="53" t="s">
        <v>74</v>
      </c>
      <c r="DX71">
        <v>33</v>
      </c>
    </row>
    <row r="72" spans="1:128" x14ac:dyDescent="0.25">
      <c r="A72" s="50">
        <v>4</v>
      </c>
      <c r="B72" s="50">
        <v>4</v>
      </c>
      <c r="C72" s="11"/>
      <c r="D72" s="18">
        <v>3</v>
      </c>
      <c r="E72" s="15">
        <v>3</v>
      </c>
      <c r="F72" s="15">
        <v>3</v>
      </c>
      <c r="G72" s="53">
        <f t="shared" si="43"/>
        <v>14.040000000000001</v>
      </c>
      <c r="H72" s="53"/>
      <c r="J72" s="50">
        <v>4</v>
      </c>
      <c r="K72" s="50">
        <v>4</v>
      </c>
      <c r="L72" s="11"/>
      <c r="M72" s="18">
        <v>3</v>
      </c>
      <c r="N72" s="15">
        <v>3</v>
      </c>
      <c r="O72" s="15">
        <v>2</v>
      </c>
      <c r="P72" s="53">
        <f t="shared" si="44"/>
        <v>9.36</v>
      </c>
      <c r="Q72" s="53"/>
      <c r="S72" s="50">
        <v>4</v>
      </c>
      <c r="T72" s="50">
        <v>4</v>
      </c>
      <c r="U72" s="11"/>
      <c r="V72" s="18">
        <v>4</v>
      </c>
      <c r="W72" s="15">
        <v>4</v>
      </c>
      <c r="X72" s="15">
        <v>3</v>
      </c>
      <c r="Y72" s="53">
        <f t="shared" si="45"/>
        <v>24.96</v>
      </c>
      <c r="Z72" s="53"/>
      <c r="AB72" s="50">
        <v>4</v>
      </c>
      <c r="AC72" s="50">
        <v>4</v>
      </c>
      <c r="AD72" s="11"/>
      <c r="AE72" s="18">
        <v>5</v>
      </c>
      <c r="AF72" s="15">
        <v>5</v>
      </c>
      <c r="AG72" s="15">
        <v>4</v>
      </c>
      <c r="AH72" s="53">
        <f t="shared" si="46"/>
        <v>52</v>
      </c>
      <c r="AI72" s="53"/>
      <c r="AK72" s="50">
        <v>4</v>
      </c>
      <c r="AL72" s="50">
        <v>4</v>
      </c>
      <c r="AM72" s="11"/>
      <c r="AN72" s="18">
        <v>6</v>
      </c>
      <c r="AO72" s="15">
        <v>6</v>
      </c>
      <c r="AP72" s="15">
        <v>5</v>
      </c>
      <c r="AQ72" s="53">
        <f t="shared" si="47"/>
        <v>93.600000000000009</v>
      </c>
      <c r="AR72" s="53"/>
      <c r="AT72" s="50">
        <v>4</v>
      </c>
      <c r="AU72" s="50">
        <v>4</v>
      </c>
      <c r="AV72" s="11"/>
      <c r="AW72" s="18">
        <v>6</v>
      </c>
      <c r="AX72" s="15">
        <v>6</v>
      </c>
      <c r="AY72" s="15">
        <v>5</v>
      </c>
      <c r="AZ72" s="53">
        <f t="shared" si="48"/>
        <v>93.600000000000009</v>
      </c>
      <c r="BA72" s="53"/>
      <c r="BC72" s="50">
        <v>4</v>
      </c>
      <c r="BD72" s="50">
        <v>4</v>
      </c>
      <c r="BE72" s="11"/>
      <c r="BF72" s="18">
        <v>7.8</v>
      </c>
      <c r="BG72" s="15">
        <v>10</v>
      </c>
      <c r="BH72" s="15">
        <v>7.7</v>
      </c>
      <c r="BI72" s="53">
        <f t="shared" si="49"/>
        <v>312.31200000000001</v>
      </c>
      <c r="BJ72" s="53"/>
      <c r="BL72" s="50">
        <v>4</v>
      </c>
      <c r="BM72" s="50">
        <v>4</v>
      </c>
      <c r="BN72" s="11"/>
      <c r="BO72" s="18">
        <v>12</v>
      </c>
      <c r="BP72" s="15">
        <v>12</v>
      </c>
      <c r="BQ72" s="15">
        <v>9</v>
      </c>
      <c r="BR72" s="53">
        <f t="shared" si="50"/>
        <v>673.92000000000007</v>
      </c>
      <c r="BS72" s="53"/>
      <c r="BU72" s="50">
        <v>4</v>
      </c>
      <c r="BV72" s="50">
        <v>4</v>
      </c>
      <c r="BW72" s="11"/>
      <c r="BX72" s="18">
        <v>16</v>
      </c>
      <c r="BY72" s="15">
        <v>18.5</v>
      </c>
      <c r="BZ72" s="15">
        <v>12</v>
      </c>
      <c r="CA72" s="53">
        <f t="shared" si="51"/>
        <v>1847.04</v>
      </c>
      <c r="CB72" s="53"/>
      <c r="CD72" s="50">
        <v>4</v>
      </c>
      <c r="CE72" s="50">
        <v>4</v>
      </c>
      <c r="CF72" s="11"/>
      <c r="CG72" s="18">
        <v>19.5</v>
      </c>
      <c r="CH72" s="15">
        <v>23</v>
      </c>
      <c r="CI72" s="15">
        <v>14</v>
      </c>
      <c r="CJ72" s="82">
        <f t="shared" ref="CJ72:CJ77" si="52">CG72*CH72*CI72*0.52</f>
        <v>3265.08</v>
      </c>
      <c r="CK72" s="53" t="s">
        <v>78</v>
      </c>
      <c r="CM72" s="50">
        <v>4</v>
      </c>
      <c r="CN72" s="50">
        <v>4</v>
      </c>
      <c r="CO72" s="11"/>
      <c r="CP72" s="84"/>
      <c r="CQ72" s="83"/>
      <c r="CR72" s="83"/>
      <c r="CS72" s="82"/>
      <c r="CT72" s="53" t="s">
        <v>78</v>
      </c>
      <c r="CV72" s="50">
        <v>4</v>
      </c>
      <c r="CW72" s="50">
        <v>4</v>
      </c>
      <c r="CX72" s="11"/>
      <c r="CY72" s="84"/>
      <c r="CZ72" s="83"/>
      <c r="DA72" s="83"/>
      <c r="DB72" s="82"/>
      <c r="DC72" s="53" t="s">
        <v>78</v>
      </c>
      <c r="DE72" s="50">
        <v>4</v>
      </c>
      <c r="DF72" s="50">
        <v>4</v>
      </c>
      <c r="DG72" s="11"/>
      <c r="DH72" s="84"/>
      <c r="DI72" s="83"/>
      <c r="DJ72" s="83"/>
      <c r="DK72" s="82"/>
      <c r="DL72" s="53" t="s">
        <v>78</v>
      </c>
      <c r="DN72" s="50">
        <v>4</v>
      </c>
      <c r="DO72" s="50">
        <v>4</v>
      </c>
      <c r="DP72" s="11"/>
      <c r="DQ72" s="84"/>
      <c r="DR72" s="83"/>
      <c r="DS72" s="83"/>
      <c r="DT72" s="82"/>
      <c r="DU72" s="53" t="s">
        <v>78</v>
      </c>
      <c r="DX72">
        <v>36</v>
      </c>
    </row>
    <row r="73" spans="1:128" x14ac:dyDescent="0.25">
      <c r="A73" s="50">
        <v>5</v>
      </c>
      <c r="B73" s="50">
        <v>5</v>
      </c>
      <c r="C73" s="11"/>
      <c r="D73" s="15">
        <v>4</v>
      </c>
      <c r="E73" s="15">
        <v>3</v>
      </c>
      <c r="F73" s="15">
        <v>3</v>
      </c>
      <c r="G73" s="53">
        <f t="shared" si="43"/>
        <v>18.72</v>
      </c>
      <c r="H73" s="53"/>
      <c r="J73" s="50">
        <v>5</v>
      </c>
      <c r="K73" s="50">
        <v>5</v>
      </c>
      <c r="L73" s="11"/>
      <c r="M73" s="15">
        <v>4</v>
      </c>
      <c r="N73" s="15">
        <v>4</v>
      </c>
      <c r="O73" s="15">
        <v>3</v>
      </c>
      <c r="P73" s="53">
        <f t="shared" si="44"/>
        <v>24.96</v>
      </c>
      <c r="Q73" s="53"/>
      <c r="S73" s="50">
        <v>5</v>
      </c>
      <c r="T73" s="50">
        <v>5</v>
      </c>
      <c r="U73" s="72" t="s">
        <v>40</v>
      </c>
      <c r="V73" s="15">
        <v>5</v>
      </c>
      <c r="W73" s="15">
        <v>5</v>
      </c>
      <c r="X73" s="15">
        <v>3.2</v>
      </c>
      <c r="Y73" s="53">
        <f t="shared" si="45"/>
        <v>41.6</v>
      </c>
      <c r="Z73" s="53"/>
      <c r="AB73" s="50">
        <v>5</v>
      </c>
      <c r="AC73" s="74" t="s">
        <v>40</v>
      </c>
      <c r="AD73" s="11"/>
      <c r="AE73" s="15">
        <v>5</v>
      </c>
      <c r="AF73" s="15">
        <v>5</v>
      </c>
      <c r="AG73" s="15">
        <v>4</v>
      </c>
      <c r="AH73" s="53">
        <f t="shared" si="46"/>
        <v>52</v>
      </c>
      <c r="AI73" s="53"/>
      <c r="AK73" s="50">
        <v>5</v>
      </c>
      <c r="AL73" s="74" t="s">
        <v>40</v>
      </c>
      <c r="AM73" s="11"/>
      <c r="AN73" s="15">
        <v>3</v>
      </c>
      <c r="AO73" s="15">
        <v>3</v>
      </c>
      <c r="AP73" s="15">
        <v>3</v>
      </c>
      <c r="AQ73" s="53">
        <f t="shared" si="47"/>
        <v>14.040000000000001</v>
      </c>
      <c r="AR73" s="53"/>
      <c r="AT73" s="50">
        <v>5</v>
      </c>
      <c r="AU73" s="74" t="s">
        <v>40</v>
      </c>
      <c r="AV73" s="11"/>
      <c r="AW73" s="15">
        <v>5</v>
      </c>
      <c r="AX73" s="15">
        <v>5</v>
      </c>
      <c r="AY73" s="15">
        <v>3</v>
      </c>
      <c r="AZ73" s="53">
        <f t="shared" si="48"/>
        <v>39</v>
      </c>
      <c r="BA73" s="53"/>
      <c r="BC73" s="50">
        <v>5</v>
      </c>
      <c r="BD73" s="74" t="s">
        <v>40</v>
      </c>
      <c r="BE73" s="11"/>
      <c r="BF73" s="15">
        <v>5</v>
      </c>
      <c r="BG73" s="15">
        <v>5</v>
      </c>
      <c r="BH73" s="15">
        <v>5</v>
      </c>
      <c r="BI73" s="53">
        <f t="shared" si="49"/>
        <v>65</v>
      </c>
      <c r="BJ73" s="53"/>
      <c r="BL73" s="50">
        <v>5</v>
      </c>
      <c r="BM73" s="74" t="s">
        <v>40</v>
      </c>
      <c r="BN73" s="11"/>
      <c r="BO73" s="15">
        <v>5</v>
      </c>
      <c r="BP73" s="15">
        <v>5</v>
      </c>
      <c r="BQ73" s="15">
        <v>5</v>
      </c>
      <c r="BR73" s="53">
        <f t="shared" si="50"/>
        <v>65</v>
      </c>
      <c r="BS73" s="53"/>
      <c r="BU73" s="50">
        <v>5</v>
      </c>
      <c r="BV73" s="74" t="s">
        <v>40</v>
      </c>
      <c r="BW73" s="11"/>
      <c r="BX73" s="15">
        <v>7</v>
      </c>
      <c r="BY73" s="15">
        <v>7</v>
      </c>
      <c r="BZ73" s="15">
        <v>5</v>
      </c>
      <c r="CA73" s="53">
        <f t="shared" si="51"/>
        <v>127.4</v>
      </c>
      <c r="CB73" s="53"/>
      <c r="CD73" s="50">
        <v>5</v>
      </c>
      <c r="CE73" s="74" t="s">
        <v>40</v>
      </c>
      <c r="CF73" s="11"/>
      <c r="CG73" s="15">
        <v>8</v>
      </c>
      <c r="CH73" s="15">
        <v>8</v>
      </c>
      <c r="CI73" s="15">
        <v>5</v>
      </c>
      <c r="CJ73" s="53">
        <f t="shared" si="52"/>
        <v>166.4</v>
      </c>
      <c r="CK73" s="53"/>
      <c r="CM73" s="50">
        <v>5</v>
      </c>
      <c r="CN73" s="74" t="s">
        <v>40</v>
      </c>
      <c r="CO73" s="11"/>
      <c r="CP73" s="15">
        <v>11</v>
      </c>
      <c r="CQ73" s="15">
        <v>10</v>
      </c>
      <c r="CR73" s="15">
        <v>5.9</v>
      </c>
      <c r="CS73" s="53">
        <f>CP73*CQ73*CR73*0.52</f>
        <v>337.48</v>
      </c>
      <c r="CT73" s="53"/>
      <c r="CV73" s="50">
        <v>5</v>
      </c>
      <c r="CW73" s="74" t="s">
        <v>40</v>
      </c>
      <c r="CX73" s="11"/>
      <c r="CY73" s="15">
        <v>16.2</v>
      </c>
      <c r="CZ73" s="15">
        <v>15.3</v>
      </c>
      <c r="DA73" s="15">
        <v>8</v>
      </c>
      <c r="DB73" s="53">
        <f>CY73*CZ73*DA73*0.52</f>
        <v>1031.0976000000001</v>
      </c>
      <c r="DC73" s="53"/>
      <c r="DE73" s="50">
        <v>5</v>
      </c>
      <c r="DF73" s="74" t="s">
        <v>40</v>
      </c>
      <c r="DG73" s="11"/>
      <c r="DH73" s="15">
        <v>20.9</v>
      </c>
      <c r="DI73" s="15">
        <v>19.5</v>
      </c>
      <c r="DJ73" s="15">
        <v>6</v>
      </c>
      <c r="DK73" s="53">
        <f>DH73*DI73*DJ73*0.52</f>
        <v>1271.5559999999998</v>
      </c>
      <c r="DL73" s="53"/>
      <c r="DN73" s="50">
        <v>5</v>
      </c>
      <c r="DO73" s="74" t="s">
        <v>40</v>
      </c>
      <c r="DP73" s="11"/>
      <c r="DQ73" s="15">
        <v>26.4</v>
      </c>
      <c r="DR73" s="15">
        <v>24.4</v>
      </c>
      <c r="DS73" s="15">
        <v>11.5</v>
      </c>
      <c r="DT73" s="76">
        <f>DQ73*DR73*DS73*0.52</f>
        <v>3852.0767999999998</v>
      </c>
      <c r="DU73" s="53" t="s">
        <v>89</v>
      </c>
      <c r="DX73">
        <v>36</v>
      </c>
    </row>
    <row r="74" spans="1:128" x14ac:dyDescent="0.25">
      <c r="A74" s="50">
        <v>6</v>
      </c>
      <c r="B74" s="50">
        <v>6</v>
      </c>
      <c r="C74" s="11"/>
      <c r="D74" s="18">
        <v>4</v>
      </c>
      <c r="E74" s="15">
        <v>3</v>
      </c>
      <c r="F74" s="15">
        <v>3</v>
      </c>
      <c r="G74" s="53">
        <f t="shared" si="43"/>
        <v>18.72</v>
      </c>
      <c r="H74" s="53"/>
      <c r="J74" s="50">
        <v>6</v>
      </c>
      <c r="K74" s="50">
        <v>6</v>
      </c>
      <c r="L74" s="11"/>
      <c r="M74" s="18">
        <v>4</v>
      </c>
      <c r="N74" s="15">
        <v>4</v>
      </c>
      <c r="O74" s="15">
        <v>3</v>
      </c>
      <c r="P74" s="53">
        <f t="shared" si="44"/>
        <v>24.96</v>
      </c>
      <c r="Q74" s="53"/>
      <c r="S74" s="50">
        <v>6</v>
      </c>
      <c r="T74" s="50">
        <v>6</v>
      </c>
      <c r="U74" s="11"/>
      <c r="V74" s="18">
        <v>4.5</v>
      </c>
      <c r="W74" s="15">
        <v>5</v>
      </c>
      <c r="X74" s="15">
        <v>3</v>
      </c>
      <c r="Y74" s="53">
        <f t="shared" si="45"/>
        <v>35.1</v>
      </c>
      <c r="Z74" s="53"/>
      <c r="AB74" s="50">
        <v>6</v>
      </c>
      <c r="AC74" s="50">
        <v>6</v>
      </c>
      <c r="AD74" s="11"/>
      <c r="AE74" s="18">
        <v>4.4000000000000004</v>
      </c>
      <c r="AF74" s="15">
        <v>6.6</v>
      </c>
      <c r="AG74" s="15">
        <v>4</v>
      </c>
      <c r="AH74" s="53">
        <f t="shared" si="46"/>
        <v>60.403199999999998</v>
      </c>
      <c r="AI74" s="53"/>
      <c r="AK74" s="50">
        <v>6</v>
      </c>
      <c r="AL74" s="50">
        <v>6</v>
      </c>
      <c r="AM74" s="11"/>
      <c r="AN74" s="18">
        <v>4</v>
      </c>
      <c r="AO74" s="15">
        <v>4</v>
      </c>
      <c r="AP74" s="15">
        <v>4</v>
      </c>
      <c r="AQ74" s="53">
        <f t="shared" si="47"/>
        <v>33.28</v>
      </c>
      <c r="AR74" s="53"/>
      <c r="AT74" s="50">
        <v>6</v>
      </c>
      <c r="AU74" s="50">
        <v>6</v>
      </c>
      <c r="AV74" s="11"/>
      <c r="AW74" s="18">
        <v>5</v>
      </c>
      <c r="AX74" s="15">
        <v>5</v>
      </c>
      <c r="AY74" s="15">
        <v>5</v>
      </c>
      <c r="AZ74" s="53">
        <f t="shared" si="48"/>
        <v>65</v>
      </c>
      <c r="BA74" s="53"/>
      <c r="BC74" s="50">
        <v>6</v>
      </c>
      <c r="BD74" s="50">
        <v>6</v>
      </c>
      <c r="BE74" s="11"/>
      <c r="BF74" s="18">
        <v>6</v>
      </c>
      <c r="BG74" s="15">
        <v>7</v>
      </c>
      <c r="BH74" s="15">
        <v>6</v>
      </c>
      <c r="BI74" s="53">
        <f t="shared" si="49"/>
        <v>131.04</v>
      </c>
      <c r="BJ74" s="53"/>
      <c r="BL74" s="50">
        <v>6</v>
      </c>
      <c r="BM74" s="50">
        <v>6</v>
      </c>
      <c r="BN74" s="11"/>
      <c r="BO74" s="18">
        <v>8</v>
      </c>
      <c r="BP74" s="15">
        <v>8</v>
      </c>
      <c r="BQ74" s="15">
        <v>5</v>
      </c>
      <c r="BR74" s="53">
        <f t="shared" si="50"/>
        <v>166.4</v>
      </c>
      <c r="BS74" s="53"/>
      <c r="BU74" s="50">
        <v>6</v>
      </c>
      <c r="BV74" s="50">
        <v>6</v>
      </c>
      <c r="BW74" s="11"/>
      <c r="BX74" s="18">
        <v>8.5</v>
      </c>
      <c r="BY74" s="15">
        <v>8.5</v>
      </c>
      <c r="BZ74" s="15">
        <v>5.4</v>
      </c>
      <c r="CA74" s="53">
        <f t="shared" si="51"/>
        <v>202.87800000000001</v>
      </c>
      <c r="CB74" s="53"/>
      <c r="CD74" s="50">
        <v>6</v>
      </c>
      <c r="CE74" s="50">
        <v>6</v>
      </c>
      <c r="CF74" s="11"/>
      <c r="CG74" s="18">
        <v>12</v>
      </c>
      <c r="CH74" s="15">
        <v>12</v>
      </c>
      <c r="CI74" s="15">
        <v>7</v>
      </c>
      <c r="CJ74" s="53">
        <f t="shared" si="52"/>
        <v>524.16</v>
      </c>
      <c r="CK74" s="53"/>
      <c r="CM74" s="50">
        <v>6</v>
      </c>
      <c r="CN74" s="50">
        <v>6</v>
      </c>
      <c r="CO74" s="11"/>
      <c r="CP74" s="18">
        <v>14</v>
      </c>
      <c r="CQ74" s="15">
        <v>14</v>
      </c>
      <c r="CR74" s="15">
        <v>6.4</v>
      </c>
      <c r="CS74" s="53">
        <f t="shared" ref="CS74" si="53">CP74*CQ74*CR74*0.52</f>
        <v>652.28800000000012</v>
      </c>
      <c r="CT74" s="53"/>
      <c r="CV74" s="50">
        <v>6</v>
      </c>
      <c r="CW74" s="50">
        <v>6</v>
      </c>
      <c r="CX74" s="11"/>
      <c r="CY74" s="18">
        <v>21.9</v>
      </c>
      <c r="CZ74" s="15">
        <v>18.100000000000001</v>
      </c>
      <c r="DA74" s="15">
        <v>10</v>
      </c>
      <c r="DB74" s="76">
        <f t="shared" ref="DB74" si="54">CY74*CZ74*DA74*0.52</f>
        <v>2061.2280000000001</v>
      </c>
      <c r="DC74" s="53" t="s">
        <v>85</v>
      </c>
      <c r="DE74" s="50">
        <v>6</v>
      </c>
      <c r="DF74" s="50">
        <v>6</v>
      </c>
      <c r="DG74" s="11"/>
      <c r="DH74" s="80"/>
      <c r="DI74" s="77"/>
      <c r="DJ74" s="77"/>
      <c r="DK74" s="76"/>
      <c r="DL74" s="53" t="s">
        <v>85</v>
      </c>
      <c r="DN74" s="50">
        <v>6</v>
      </c>
      <c r="DO74" s="50">
        <v>6</v>
      </c>
      <c r="DP74" s="11"/>
      <c r="DQ74" s="80"/>
      <c r="DR74" s="77"/>
      <c r="DS74" s="77"/>
      <c r="DT74" s="76"/>
      <c r="DU74" s="53" t="s">
        <v>85</v>
      </c>
      <c r="DX74">
        <v>36</v>
      </c>
    </row>
    <row r="75" spans="1:128" x14ac:dyDescent="0.25">
      <c r="A75" s="50">
        <v>7</v>
      </c>
      <c r="B75" s="54">
        <v>14</v>
      </c>
      <c r="C75" s="11"/>
      <c r="D75" s="15">
        <v>5</v>
      </c>
      <c r="E75" s="15">
        <v>3</v>
      </c>
      <c r="F75" s="15">
        <v>3</v>
      </c>
      <c r="G75" s="53">
        <f t="shared" si="43"/>
        <v>23.400000000000002</v>
      </c>
      <c r="H75" s="53"/>
      <c r="J75" s="50">
        <v>7</v>
      </c>
      <c r="K75" s="54">
        <v>14</v>
      </c>
      <c r="L75" s="11"/>
      <c r="M75" s="15">
        <v>5</v>
      </c>
      <c r="N75" s="15">
        <v>5</v>
      </c>
      <c r="O75" s="15">
        <v>3.5</v>
      </c>
      <c r="P75" s="53">
        <f t="shared" si="44"/>
        <v>45.5</v>
      </c>
      <c r="Q75" s="53"/>
      <c r="S75" s="50">
        <v>7</v>
      </c>
      <c r="T75" s="54">
        <v>14</v>
      </c>
      <c r="U75" s="11"/>
      <c r="V75" s="15">
        <v>5</v>
      </c>
      <c r="W75" s="15">
        <v>5</v>
      </c>
      <c r="X75" s="15">
        <v>3</v>
      </c>
      <c r="Y75" s="53">
        <f t="shared" si="45"/>
        <v>39</v>
      </c>
      <c r="Z75" s="53"/>
      <c r="AB75" s="50">
        <v>7</v>
      </c>
      <c r="AC75" s="54">
        <v>14</v>
      </c>
      <c r="AD75" s="11"/>
      <c r="AE75" s="15">
        <v>5</v>
      </c>
      <c r="AF75" s="15">
        <v>5</v>
      </c>
      <c r="AG75" s="15">
        <v>5</v>
      </c>
      <c r="AH75" s="53">
        <f t="shared" si="46"/>
        <v>65</v>
      </c>
      <c r="AI75" s="53"/>
      <c r="AK75" s="50">
        <v>7</v>
      </c>
      <c r="AL75" s="54">
        <v>14</v>
      </c>
      <c r="AM75" s="11"/>
      <c r="AN75" s="15">
        <v>7</v>
      </c>
      <c r="AO75" s="15">
        <v>7</v>
      </c>
      <c r="AP75" s="15">
        <v>5</v>
      </c>
      <c r="AQ75" s="53">
        <f t="shared" si="47"/>
        <v>127.4</v>
      </c>
      <c r="AR75" s="53"/>
      <c r="AT75" s="50">
        <v>7</v>
      </c>
      <c r="AU75" s="54">
        <v>14</v>
      </c>
      <c r="AV75" s="11"/>
      <c r="AW75" s="15">
        <v>7</v>
      </c>
      <c r="AX75" s="15">
        <v>7</v>
      </c>
      <c r="AY75" s="15">
        <v>3.7</v>
      </c>
      <c r="AZ75" s="53">
        <f t="shared" si="48"/>
        <v>94.27600000000001</v>
      </c>
      <c r="BA75" s="53"/>
      <c r="BC75" s="50">
        <v>7</v>
      </c>
      <c r="BD75" s="54">
        <v>14</v>
      </c>
      <c r="BE75" s="11"/>
      <c r="BF75" s="15">
        <v>8</v>
      </c>
      <c r="BG75" s="15">
        <v>14</v>
      </c>
      <c r="BH75" s="15">
        <v>6</v>
      </c>
      <c r="BI75" s="53">
        <f t="shared" si="49"/>
        <v>349.44</v>
      </c>
      <c r="BJ75" s="53"/>
      <c r="BL75" s="50">
        <v>7</v>
      </c>
      <c r="BM75" s="54">
        <v>14</v>
      </c>
      <c r="BN75" s="11"/>
      <c r="BO75" s="15">
        <v>16</v>
      </c>
      <c r="BP75" s="15">
        <v>13</v>
      </c>
      <c r="BQ75" s="15">
        <v>10.5</v>
      </c>
      <c r="BR75" s="53">
        <f t="shared" si="50"/>
        <v>1135.68</v>
      </c>
      <c r="BS75" s="53"/>
      <c r="BU75" s="50">
        <v>7</v>
      </c>
      <c r="BV75" s="54">
        <v>14</v>
      </c>
      <c r="BW75" s="11"/>
      <c r="BX75" s="15">
        <v>22</v>
      </c>
      <c r="BY75" s="15">
        <v>15</v>
      </c>
      <c r="BZ75" s="15">
        <v>11</v>
      </c>
      <c r="CA75" s="53">
        <f t="shared" si="51"/>
        <v>1887.6000000000001</v>
      </c>
      <c r="CB75" s="53"/>
      <c r="CD75" s="50">
        <v>7</v>
      </c>
      <c r="CE75" s="54">
        <v>14</v>
      </c>
      <c r="CF75" s="11"/>
      <c r="CG75" s="15">
        <v>25</v>
      </c>
      <c r="CH75" s="15">
        <v>18.399999999999999</v>
      </c>
      <c r="CI75" s="15">
        <v>13.7</v>
      </c>
      <c r="CJ75" s="82">
        <f t="shared" si="52"/>
        <v>3277.0399999999995</v>
      </c>
      <c r="CK75" s="53" t="s">
        <v>78</v>
      </c>
      <c r="CM75" s="50">
        <v>7</v>
      </c>
      <c r="CN75" s="54">
        <v>14</v>
      </c>
      <c r="CO75" s="11"/>
      <c r="CP75" s="83"/>
      <c r="CQ75" s="83"/>
      <c r="CR75" s="83"/>
      <c r="CS75" s="82"/>
      <c r="CT75" s="53" t="s">
        <v>78</v>
      </c>
      <c r="CV75" s="50">
        <v>7</v>
      </c>
      <c r="CW75" s="54">
        <v>14</v>
      </c>
      <c r="CX75" s="11"/>
      <c r="CY75" s="83"/>
      <c r="CZ75" s="83"/>
      <c r="DA75" s="83"/>
      <c r="DB75" s="82"/>
      <c r="DC75" s="53" t="s">
        <v>78</v>
      </c>
      <c r="DE75" s="50">
        <v>7</v>
      </c>
      <c r="DF75" s="54">
        <v>14</v>
      </c>
      <c r="DG75" s="11"/>
      <c r="DH75" s="83"/>
      <c r="DI75" s="83"/>
      <c r="DJ75" s="83"/>
      <c r="DK75" s="82"/>
      <c r="DL75" s="53" t="s">
        <v>78</v>
      </c>
      <c r="DN75" s="50">
        <v>7</v>
      </c>
      <c r="DO75" s="54">
        <v>14</v>
      </c>
      <c r="DP75" s="11"/>
      <c r="DQ75" s="83"/>
      <c r="DR75" s="83"/>
      <c r="DS75" s="83"/>
      <c r="DT75" s="82"/>
      <c r="DU75" s="53" t="s">
        <v>78</v>
      </c>
      <c r="DX75">
        <v>41</v>
      </c>
    </row>
    <row r="76" spans="1:128" x14ac:dyDescent="0.25">
      <c r="A76" s="50">
        <v>8</v>
      </c>
      <c r="B76" s="54">
        <v>15</v>
      </c>
      <c r="C76" s="11"/>
      <c r="D76" s="15">
        <v>4</v>
      </c>
      <c r="E76" s="15">
        <v>4</v>
      </c>
      <c r="F76" s="15">
        <v>3</v>
      </c>
      <c r="G76" s="53">
        <f t="shared" si="43"/>
        <v>24.96</v>
      </c>
      <c r="H76" s="53"/>
      <c r="J76" s="50">
        <v>8</v>
      </c>
      <c r="K76" s="54">
        <v>15</v>
      </c>
      <c r="L76" s="11"/>
      <c r="M76" s="15">
        <v>5</v>
      </c>
      <c r="N76" s="15">
        <v>5</v>
      </c>
      <c r="O76" s="15">
        <v>3</v>
      </c>
      <c r="P76" s="53">
        <f t="shared" si="44"/>
        <v>39</v>
      </c>
      <c r="Q76" s="53"/>
      <c r="S76" s="50">
        <v>8</v>
      </c>
      <c r="T76" s="54">
        <v>15</v>
      </c>
      <c r="U76" s="11"/>
      <c r="V76" s="15">
        <v>6.6</v>
      </c>
      <c r="W76" s="15">
        <v>5.5</v>
      </c>
      <c r="X76" s="15">
        <v>3.8</v>
      </c>
      <c r="Y76" s="53">
        <f t="shared" si="45"/>
        <v>71.728799999999993</v>
      </c>
      <c r="Z76" s="53"/>
      <c r="AB76" s="50">
        <v>8</v>
      </c>
      <c r="AC76" s="54">
        <v>15</v>
      </c>
      <c r="AD76" s="11"/>
      <c r="AE76" s="15">
        <v>7.4</v>
      </c>
      <c r="AF76" s="15">
        <v>7</v>
      </c>
      <c r="AG76" s="15">
        <v>5</v>
      </c>
      <c r="AH76" s="53">
        <f t="shared" si="46"/>
        <v>134.68</v>
      </c>
      <c r="AI76" s="53"/>
      <c r="AK76" s="50">
        <v>8</v>
      </c>
      <c r="AL76" s="54">
        <v>15</v>
      </c>
      <c r="AM76" s="11"/>
      <c r="AN76" s="15">
        <v>9</v>
      </c>
      <c r="AO76" s="15">
        <v>10</v>
      </c>
      <c r="AP76" s="15">
        <v>7</v>
      </c>
      <c r="AQ76" s="53">
        <f t="shared" si="47"/>
        <v>327.60000000000002</v>
      </c>
      <c r="AR76" s="53"/>
      <c r="AT76" s="50">
        <v>8</v>
      </c>
      <c r="AU76" s="54">
        <v>15</v>
      </c>
      <c r="AV76" s="11"/>
      <c r="AW76" s="15">
        <v>8.5</v>
      </c>
      <c r="AX76" s="15">
        <v>8.5</v>
      </c>
      <c r="AY76" s="15">
        <v>6.4</v>
      </c>
      <c r="AZ76" s="53">
        <f t="shared" si="48"/>
        <v>240.44800000000004</v>
      </c>
      <c r="BA76" s="53" t="s">
        <v>67</v>
      </c>
      <c r="BC76" s="50">
        <v>8</v>
      </c>
      <c r="BD76" s="54">
        <v>15</v>
      </c>
      <c r="BE76" s="11"/>
      <c r="BF76" s="15">
        <v>10</v>
      </c>
      <c r="BG76" s="15">
        <v>10</v>
      </c>
      <c r="BH76" s="15">
        <v>7.3</v>
      </c>
      <c r="BI76" s="53">
        <f t="shared" si="49"/>
        <v>379.6</v>
      </c>
      <c r="BJ76" s="53"/>
      <c r="BL76" s="50">
        <v>8</v>
      </c>
      <c r="BM76" s="54">
        <v>15</v>
      </c>
      <c r="BN76" s="11"/>
      <c r="BO76" s="15">
        <v>14</v>
      </c>
      <c r="BP76" s="15">
        <v>10</v>
      </c>
      <c r="BQ76" s="15">
        <v>8</v>
      </c>
      <c r="BR76" s="53">
        <f t="shared" si="50"/>
        <v>582.4</v>
      </c>
      <c r="BS76" s="53"/>
      <c r="BU76" s="50">
        <v>8</v>
      </c>
      <c r="BV76" s="54">
        <v>15</v>
      </c>
      <c r="BW76" s="11"/>
      <c r="BX76" s="15">
        <v>18</v>
      </c>
      <c r="BY76" s="15">
        <v>19</v>
      </c>
      <c r="BZ76" s="15">
        <v>13</v>
      </c>
      <c r="CA76" s="76">
        <f t="shared" si="51"/>
        <v>2311.92</v>
      </c>
      <c r="CB76" s="53" t="s">
        <v>74</v>
      </c>
      <c r="CD76" s="50">
        <v>8</v>
      </c>
      <c r="CE76" s="54">
        <v>15</v>
      </c>
      <c r="CF76" s="11"/>
      <c r="CG76" s="77"/>
      <c r="CH76" s="77"/>
      <c r="CI76" s="77"/>
      <c r="CJ76" s="76"/>
      <c r="CK76" s="53" t="s">
        <v>74</v>
      </c>
      <c r="CM76" s="50">
        <v>8</v>
      </c>
      <c r="CN76" s="54">
        <v>15</v>
      </c>
      <c r="CO76" s="11"/>
      <c r="CP76" s="77"/>
      <c r="CQ76" s="77"/>
      <c r="CR76" s="77"/>
      <c r="CS76" s="76"/>
      <c r="CT76" s="53" t="s">
        <v>74</v>
      </c>
      <c r="CV76" s="50">
        <v>8</v>
      </c>
      <c r="CW76" s="54">
        <v>15</v>
      </c>
      <c r="CX76" s="11"/>
      <c r="CY76" s="77"/>
      <c r="CZ76" s="77"/>
      <c r="DA76" s="77"/>
      <c r="DB76" s="76"/>
      <c r="DC76" s="53" t="s">
        <v>74</v>
      </c>
      <c r="DE76" s="50">
        <v>8</v>
      </c>
      <c r="DF76" s="54">
        <v>15</v>
      </c>
      <c r="DG76" s="11"/>
      <c r="DH76" s="77"/>
      <c r="DI76" s="77"/>
      <c r="DJ76" s="77"/>
      <c r="DK76" s="76"/>
      <c r="DL76" s="53" t="s">
        <v>74</v>
      </c>
      <c r="DN76" s="50">
        <v>8</v>
      </c>
      <c r="DO76" s="54">
        <v>15</v>
      </c>
      <c r="DP76" s="11"/>
      <c r="DQ76" s="77"/>
      <c r="DR76" s="77"/>
      <c r="DS76" s="77"/>
      <c r="DT76" s="76"/>
      <c r="DU76" s="53" t="s">
        <v>74</v>
      </c>
      <c r="DX76">
        <v>46</v>
      </c>
    </row>
    <row r="77" spans="1:128" x14ac:dyDescent="0.25">
      <c r="A77" s="50">
        <v>9</v>
      </c>
      <c r="B77" s="56">
        <v>16</v>
      </c>
      <c r="C77" s="11"/>
      <c r="D77" s="55">
        <v>7</v>
      </c>
      <c r="E77" s="55">
        <v>4</v>
      </c>
      <c r="F77" s="55">
        <v>3</v>
      </c>
      <c r="G77" s="53">
        <f t="shared" si="43"/>
        <v>43.68</v>
      </c>
      <c r="H77" s="53"/>
      <c r="J77" s="50">
        <v>9</v>
      </c>
      <c r="K77" s="56">
        <v>16</v>
      </c>
      <c r="L77" s="11"/>
      <c r="M77" s="55">
        <v>4.5</v>
      </c>
      <c r="N77" s="55">
        <v>6</v>
      </c>
      <c r="O77" s="55">
        <v>3</v>
      </c>
      <c r="P77" s="53">
        <f t="shared" si="44"/>
        <v>42.120000000000005</v>
      </c>
      <c r="Q77" s="53"/>
      <c r="S77" s="50">
        <v>9</v>
      </c>
      <c r="T77" s="56">
        <v>16</v>
      </c>
      <c r="U77" s="11"/>
      <c r="V77" s="55">
        <v>7.7</v>
      </c>
      <c r="W77" s="55">
        <v>5</v>
      </c>
      <c r="X77" s="55">
        <v>2.5</v>
      </c>
      <c r="Y77" s="53">
        <f t="shared" si="45"/>
        <v>50.050000000000004</v>
      </c>
      <c r="Z77" s="53"/>
      <c r="AB77" s="50">
        <v>9</v>
      </c>
      <c r="AC77" s="56">
        <v>16</v>
      </c>
      <c r="AD77" s="11"/>
      <c r="AE77" s="55">
        <v>7.3</v>
      </c>
      <c r="AF77" s="55">
        <v>4.4000000000000004</v>
      </c>
      <c r="AG77" s="55">
        <v>3</v>
      </c>
      <c r="AH77" s="53">
        <f t="shared" si="46"/>
        <v>50.107200000000006</v>
      </c>
      <c r="AI77" s="53"/>
      <c r="AK77" s="50">
        <v>9</v>
      </c>
      <c r="AL77" s="56">
        <v>16</v>
      </c>
      <c r="AM77" s="11"/>
      <c r="AN77" s="55">
        <v>8.6</v>
      </c>
      <c r="AO77" s="55">
        <v>4.8</v>
      </c>
      <c r="AP77" s="55">
        <v>3</v>
      </c>
      <c r="AQ77" s="53">
        <f t="shared" si="47"/>
        <v>64.396799999999985</v>
      </c>
      <c r="AR77" s="53"/>
      <c r="AT77" s="50">
        <v>9</v>
      </c>
      <c r="AU77" s="56">
        <v>16</v>
      </c>
      <c r="AV77" s="11"/>
      <c r="AW77" s="55">
        <v>9.1</v>
      </c>
      <c r="AX77" s="55">
        <v>5.3</v>
      </c>
      <c r="AY77" s="55">
        <v>3.7</v>
      </c>
      <c r="AZ77" s="53">
        <f t="shared" si="48"/>
        <v>92.794520000000006</v>
      </c>
      <c r="BA77" s="53"/>
      <c r="BC77" s="50">
        <v>9</v>
      </c>
      <c r="BD77" s="56">
        <v>16</v>
      </c>
      <c r="BE77" s="11"/>
      <c r="BF77" s="55">
        <v>6.2</v>
      </c>
      <c r="BG77" s="55">
        <v>11</v>
      </c>
      <c r="BH77" s="55">
        <v>5.7</v>
      </c>
      <c r="BI77" s="53">
        <f t="shared" si="49"/>
        <v>202.1448</v>
      </c>
      <c r="BJ77" s="53"/>
      <c r="BL77" s="50">
        <v>9</v>
      </c>
      <c r="BM77" s="56">
        <v>16</v>
      </c>
      <c r="BN77" s="11"/>
      <c r="BO77" s="55">
        <v>10.9</v>
      </c>
      <c r="BP77" s="55">
        <v>15</v>
      </c>
      <c r="BQ77" s="55">
        <v>8</v>
      </c>
      <c r="BR77" s="53">
        <f t="shared" si="50"/>
        <v>680.16</v>
      </c>
      <c r="BS77" s="53"/>
      <c r="BU77" s="50">
        <v>9</v>
      </c>
      <c r="BV77" s="56">
        <v>16</v>
      </c>
      <c r="BW77" s="11"/>
      <c r="BX77" s="55">
        <v>19</v>
      </c>
      <c r="BY77" s="55">
        <v>12</v>
      </c>
      <c r="BZ77" s="55">
        <v>7.8</v>
      </c>
      <c r="CA77" s="53">
        <f t="shared" si="51"/>
        <v>924.76799999999992</v>
      </c>
      <c r="CB77" s="53"/>
      <c r="CD77" s="50">
        <v>9</v>
      </c>
      <c r="CE77" s="56">
        <v>16</v>
      </c>
      <c r="CF77" s="11"/>
      <c r="CG77" s="55">
        <v>22</v>
      </c>
      <c r="CH77" s="55">
        <v>16</v>
      </c>
      <c r="CI77" s="55">
        <v>9.9</v>
      </c>
      <c r="CJ77" s="53">
        <f t="shared" si="52"/>
        <v>1812.0960000000002</v>
      </c>
      <c r="CK77" s="53"/>
      <c r="CM77" s="50">
        <v>9</v>
      </c>
      <c r="CN77" s="56">
        <v>16</v>
      </c>
      <c r="CO77" s="11"/>
      <c r="CP77" s="55">
        <v>29</v>
      </c>
      <c r="CQ77" s="55">
        <v>20</v>
      </c>
      <c r="CR77" s="55">
        <v>12.2</v>
      </c>
      <c r="CS77" s="82">
        <f t="shared" ref="CS77" si="55">CP77*CQ77*CR77*0.52</f>
        <v>3679.52</v>
      </c>
      <c r="CT77" s="53" t="s">
        <v>82</v>
      </c>
      <c r="CV77" s="50">
        <v>9</v>
      </c>
      <c r="CW77" s="56">
        <v>16</v>
      </c>
      <c r="CX77" s="11"/>
      <c r="CY77" s="85"/>
      <c r="CZ77" s="85"/>
      <c r="DA77" s="85"/>
      <c r="DB77" s="82"/>
      <c r="DC77" s="53" t="s">
        <v>82</v>
      </c>
      <c r="DE77" s="50">
        <v>9</v>
      </c>
      <c r="DF77" s="56">
        <v>16</v>
      </c>
      <c r="DG77" s="11"/>
      <c r="DH77" s="85"/>
      <c r="DI77" s="85"/>
      <c r="DJ77" s="85"/>
      <c r="DK77" s="82"/>
      <c r="DL77" s="53" t="s">
        <v>82</v>
      </c>
      <c r="DN77" s="50">
        <v>9</v>
      </c>
      <c r="DO77" s="56">
        <v>16</v>
      </c>
      <c r="DP77" s="11"/>
      <c r="DQ77" s="85"/>
      <c r="DR77" s="85"/>
      <c r="DS77" s="85"/>
      <c r="DT77" s="82"/>
      <c r="DU77" s="53" t="s">
        <v>82</v>
      </c>
      <c r="DX77">
        <v>56</v>
      </c>
    </row>
    <row r="78" spans="1:128" x14ac:dyDescent="0.25">
      <c r="A78" s="20" t="s">
        <v>9</v>
      </c>
      <c r="B78" s="20"/>
      <c r="C78" s="21"/>
      <c r="D78" s="22"/>
      <c r="E78" s="22"/>
      <c r="F78" s="22"/>
      <c r="G78" s="21">
        <f>AVERAGE(G69:G77)</f>
        <v>27.213333333333338</v>
      </c>
      <c r="H78" s="21"/>
      <c r="J78" s="20" t="s">
        <v>9</v>
      </c>
      <c r="K78" s="20"/>
      <c r="L78" s="21"/>
      <c r="M78" s="22"/>
      <c r="N78" s="22"/>
      <c r="O78" s="22"/>
      <c r="P78" s="21">
        <f>AVERAGE(P69:P77)</f>
        <v>36.220888888888886</v>
      </c>
      <c r="Q78" s="21"/>
      <c r="S78" s="20" t="s">
        <v>9</v>
      </c>
      <c r="T78" s="20"/>
      <c r="U78" s="21"/>
      <c r="V78" s="22"/>
      <c r="W78" s="22"/>
      <c r="X78" s="22"/>
      <c r="Y78" s="21">
        <f>AVERAGE(Y69:Y77)</f>
        <v>47.834800000000001</v>
      </c>
      <c r="Z78" s="21"/>
      <c r="AB78" s="20" t="s">
        <v>9</v>
      </c>
      <c r="AC78" s="20"/>
      <c r="AD78" s="21"/>
      <c r="AE78" s="22"/>
      <c r="AF78" s="22"/>
      <c r="AG78" s="22"/>
      <c r="AH78" s="21">
        <f>AVERAGE(AH69:AH77)</f>
        <v>73.956191111111096</v>
      </c>
      <c r="AI78" s="21"/>
      <c r="AK78" s="20" t="s">
        <v>9</v>
      </c>
      <c r="AL78" s="20"/>
      <c r="AM78" s="21"/>
      <c r="AN78" s="22"/>
      <c r="AO78" s="22"/>
      <c r="AP78" s="22"/>
      <c r="AQ78" s="21">
        <f>AVERAGE(AQ69:AQ77)</f>
        <v>155.5668977777778</v>
      </c>
      <c r="AR78" s="21"/>
      <c r="AT78" s="20" t="s">
        <v>9</v>
      </c>
      <c r="AU78" s="20"/>
      <c r="AV78" s="21"/>
      <c r="AW78" s="22"/>
      <c r="AX78" s="22"/>
      <c r="AY78" s="22"/>
      <c r="AZ78" s="21">
        <f>AVERAGE(AZ69:AZ77)</f>
        <v>199.94127111111115</v>
      </c>
      <c r="BA78" s="21"/>
      <c r="BC78" s="20" t="s">
        <v>9</v>
      </c>
      <c r="BD78" s="20"/>
      <c r="BE78" s="21"/>
      <c r="BF78" s="22"/>
      <c r="BG78" s="22"/>
      <c r="BH78" s="22"/>
      <c r="BI78" s="21">
        <f>AVERAGE(BI69:BI77)</f>
        <v>428.89207111111108</v>
      </c>
      <c r="BJ78" s="21"/>
      <c r="BL78" s="20" t="s">
        <v>9</v>
      </c>
      <c r="BM78" s="20"/>
      <c r="BN78" s="21"/>
      <c r="BO78" s="22"/>
      <c r="BP78" s="22"/>
      <c r="BQ78" s="22"/>
      <c r="BR78" s="21">
        <f>AVERAGE(BR69:BR77)</f>
        <v>817.39608888888881</v>
      </c>
      <c r="BS78" s="21"/>
      <c r="BU78" s="20" t="s">
        <v>9</v>
      </c>
      <c r="BV78" s="20"/>
      <c r="BW78" s="21"/>
      <c r="BX78" s="22"/>
      <c r="BY78" s="22"/>
      <c r="BZ78" s="22"/>
      <c r="CA78" s="21">
        <f>AVERAGE(CA69:CA77)</f>
        <v>1612.6615555555554</v>
      </c>
      <c r="CB78" s="21"/>
      <c r="CD78" s="20" t="s">
        <v>9</v>
      </c>
      <c r="CE78" s="20"/>
      <c r="CF78" s="21"/>
      <c r="CG78" s="22"/>
      <c r="CH78" s="22"/>
      <c r="CI78" s="22"/>
      <c r="CJ78" s="21">
        <f>AVERAGE(CJ69:CJ77)</f>
        <v>2012.2357666666664</v>
      </c>
      <c r="CK78" s="21"/>
      <c r="CM78" s="20" t="s">
        <v>9</v>
      </c>
      <c r="CN78" s="20"/>
      <c r="CO78" s="21"/>
      <c r="CP78" s="22"/>
      <c r="CQ78" s="22"/>
      <c r="CR78" s="22"/>
      <c r="CS78" s="21">
        <f>AVERAGE(CS69:CS77)</f>
        <v>1556.4293333333335</v>
      </c>
      <c r="CT78" s="21"/>
      <c r="CV78" s="20" t="s">
        <v>9</v>
      </c>
      <c r="CW78" s="20"/>
      <c r="CX78" s="21"/>
      <c r="CY78" s="22"/>
      <c r="CZ78" s="22"/>
      <c r="DA78" s="22"/>
      <c r="DB78" s="21">
        <f>AVERAGE(DB69:DB77)</f>
        <v>1546.1628000000001</v>
      </c>
      <c r="DC78" s="21"/>
      <c r="DE78" s="20" t="s">
        <v>9</v>
      </c>
      <c r="DF78" s="20"/>
      <c r="DG78" s="21"/>
      <c r="DH78" s="22"/>
      <c r="DI78" s="22"/>
      <c r="DJ78" s="22"/>
      <c r="DK78" s="21">
        <f>AVERAGE(DK69:DK77)</f>
        <v>1271.5559999999998</v>
      </c>
      <c r="DL78" s="21"/>
      <c r="DN78" s="20" t="s">
        <v>9</v>
      </c>
      <c r="DO78" s="20"/>
      <c r="DP78" s="21"/>
      <c r="DQ78" s="22"/>
      <c r="DR78" s="22"/>
      <c r="DS78" s="22"/>
      <c r="DT78" s="21">
        <f>AVERAGE(DT69:DT77)</f>
        <v>3852.0767999999998</v>
      </c>
      <c r="DU78" s="21"/>
    </row>
    <row r="79" spans="1:128" x14ac:dyDescent="0.25">
      <c r="A79" s="20" t="s">
        <v>10</v>
      </c>
      <c r="B79" s="20"/>
      <c r="C79" s="22"/>
      <c r="D79" s="22"/>
      <c r="E79" s="22"/>
      <c r="F79" s="22"/>
      <c r="G79" s="21">
        <f>AVEDEV(G69:G77)</f>
        <v>8.551111111111112</v>
      </c>
      <c r="H79" s="21"/>
      <c r="J79" s="20" t="s">
        <v>10</v>
      </c>
      <c r="K79" s="20"/>
      <c r="L79" s="22"/>
      <c r="M79" s="22"/>
      <c r="N79" s="22"/>
      <c r="O79" s="22"/>
      <c r="P79" s="21">
        <f>AVEDEV(P69:P77)</f>
        <v>10.973925925925929</v>
      </c>
      <c r="Q79" s="21"/>
      <c r="S79" s="20" t="s">
        <v>10</v>
      </c>
      <c r="T79" s="20"/>
      <c r="U79" s="22"/>
      <c r="V79" s="22"/>
      <c r="W79" s="22"/>
      <c r="X79" s="22"/>
      <c r="Y79" s="21">
        <f>AVEDEV(Y69:Y77)</f>
        <v>16.345333333333336</v>
      </c>
      <c r="Z79" s="21"/>
      <c r="AB79" s="20" t="s">
        <v>10</v>
      </c>
      <c r="AC79" s="20"/>
      <c r="AD79" s="22"/>
      <c r="AE79" s="22"/>
      <c r="AF79" s="22"/>
      <c r="AG79" s="22"/>
      <c r="AH79" s="21">
        <f>AVEDEV(AH69:AH77)</f>
        <v>22.050388148148144</v>
      </c>
      <c r="AI79" s="21"/>
      <c r="AK79" s="20" t="s">
        <v>10</v>
      </c>
      <c r="AL79" s="20"/>
      <c r="AM79" s="22"/>
      <c r="AN79" s="22"/>
      <c r="AO79" s="22"/>
      <c r="AP79" s="22"/>
      <c r="AQ79" s="21">
        <f>AVEDEV(AQ69:AQ77)</f>
        <v>100.6445748148148</v>
      </c>
      <c r="AR79" s="21"/>
      <c r="AT79" s="20" t="s">
        <v>10</v>
      </c>
      <c r="AU79" s="20"/>
      <c r="AV79" s="22"/>
      <c r="AW79" s="22"/>
      <c r="AX79" s="22"/>
      <c r="AY79" s="22"/>
      <c r="AZ79" s="21">
        <f>AVEDEV(AZ69:AZ77)</f>
        <v>136.67463012345681</v>
      </c>
      <c r="BA79" s="21"/>
      <c r="BC79" s="20" t="s">
        <v>10</v>
      </c>
      <c r="BD79" s="20"/>
      <c r="BE79" s="22"/>
      <c r="BF79" s="22"/>
      <c r="BG79" s="22"/>
      <c r="BH79" s="22"/>
      <c r="BI79" s="21">
        <f>AVEDEV(BI69:BI77)</f>
        <v>251.95902814814812</v>
      </c>
      <c r="BJ79" s="21"/>
      <c r="BL79" s="20" t="s">
        <v>10</v>
      </c>
      <c r="BM79" s="20"/>
      <c r="BN79" s="22"/>
      <c r="BO79" s="22"/>
      <c r="BP79" s="22"/>
      <c r="BQ79" s="22"/>
      <c r="BR79" s="21">
        <f>AVEDEV(BR69:BR77)</f>
        <v>426.46676543209873</v>
      </c>
      <c r="BS79" s="21"/>
      <c r="BU79" s="20" t="s">
        <v>10</v>
      </c>
      <c r="BV79" s="20"/>
      <c r="BW79" s="22"/>
      <c r="BX79" s="22"/>
      <c r="BY79" s="22"/>
      <c r="BZ79" s="22"/>
      <c r="CA79" s="21">
        <f>AVEDEV(CA69:CA77)</f>
        <v>796.20859259259259</v>
      </c>
      <c r="CB79" s="21"/>
      <c r="CD79" s="20" t="s">
        <v>10</v>
      </c>
      <c r="CE79" s="20"/>
      <c r="CF79" s="22"/>
      <c r="CG79" s="22"/>
      <c r="CH79" s="22"/>
      <c r="CI79" s="22"/>
      <c r="CJ79" s="21">
        <f>AVEDEV(CJ69:CJ77)</f>
        <v>1178.0170999999998</v>
      </c>
      <c r="CK79" s="21"/>
      <c r="CM79" s="20" t="s">
        <v>10</v>
      </c>
      <c r="CN79" s="20"/>
      <c r="CO79" s="22"/>
      <c r="CP79" s="22"/>
      <c r="CQ79" s="22"/>
      <c r="CR79" s="22"/>
      <c r="CS79" s="21">
        <f>AVEDEV(CS69:CS77)</f>
        <v>1415.393777777778</v>
      </c>
      <c r="CT79" s="21"/>
      <c r="CV79" s="20" t="s">
        <v>10</v>
      </c>
      <c r="CW79" s="20"/>
      <c r="CX79" s="22"/>
      <c r="CY79" s="22"/>
      <c r="CZ79" s="22"/>
      <c r="DA79" s="22"/>
      <c r="DB79" s="21">
        <f>AVEDEV(DB69:DB77)</f>
        <v>515.0652</v>
      </c>
      <c r="DC79" s="21"/>
      <c r="DE79" s="20" t="s">
        <v>10</v>
      </c>
      <c r="DF79" s="20"/>
      <c r="DG79" s="22"/>
      <c r="DH79" s="22"/>
      <c r="DI79" s="22"/>
      <c r="DJ79" s="22"/>
      <c r="DK79" s="21">
        <f>AVEDEV(DK69:DK77)</f>
        <v>0</v>
      </c>
      <c r="DL79" s="21"/>
      <c r="DN79" s="20" t="s">
        <v>10</v>
      </c>
      <c r="DO79" s="20"/>
      <c r="DP79" s="22"/>
      <c r="DQ79" s="22"/>
      <c r="DR79" s="22"/>
      <c r="DS79" s="22"/>
      <c r="DT79" s="21">
        <f>AVEDEV(DT69:DT77)</f>
        <v>0</v>
      </c>
      <c r="DU79" s="21"/>
    </row>
    <row r="82" spans="1:128" x14ac:dyDescent="0.25">
      <c r="A82" s="57" t="s">
        <v>14</v>
      </c>
      <c r="B82" s="57"/>
      <c r="G82" s="5" t="s">
        <v>17</v>
      </c>
      <c r="J82" s="57" t="s">
        <v>14</v>
      </c>
      <c r="K82" s="57"/>
      <c r="P82" s="5" t="s">
        <v>18</v>
      </c>
      <c r="S82" s="57" t="s">
        <v>14</v>
      </c>
      <c r="T82" s="57"/>
      <c r="Y82" s="5" t="s">
        <v>52</v>
      </c>
      <c r="AB82" s="57" t="s">
        <v>14</v>
      </c>
      <c r="AC82" s="57"/>
      <c r="AH82" s="5"/>
      <c r="AK82" s="57" t="s">
        <v>14</v>
      </c>
      <c r="AL82" s="57"/>
      <c r="AQ82" s="5"/>
      <c r="AT82" s="57" t="s">
        <v>14</v>
      </c>
      <c r="AU82" s="57"/>
      <c r="AZ82" s="5"/>
      <c r="BC82" s="57" t="s">
        <v>14</v>
      </c>
      <c r="BD82" s="57"/>
      <c r="BL82" s="57" t="s">
        <v>14</v>
      </c>
      <c r="BM82" s="57"/>
      <c r="BR82" s="5"/>
      <c r="BU82" s="57" t="s">
        <v>14</v>
      </c>
      <c r="BV82" s="57"/>
      <c r="CA82" s="5"/>
      <c r="CD82" s="57" t="s">
        <v>14</v>
      </c>
      <c r="CE82" s="57"/>
      <c r="CJ82" s="5"/>
      <c r="CM82" s="57" t="s">
        <v>14</v>
      </c>
      <c r="CN82" s="57"/>
      <c r="CS82" s="5"/>
      <c r="CV82" s="57" t="s">
        <v>14</v>
      </c>
      <c r="CW82" s="57"/>
      <c r="DB82" s="5"/>
      <c r="DE82" s="57" t="s">
        <v>14</v>
      </c>
      <c r="DF82" s="57"/>
      <c r="DK82" s="5"/>
      <c r="DN82" s="57" t="s">
        <v>14</v>
      </c>
      <c r="DO82" s="57"/>
      <c r="DT82" s="5"/>
    </row>
    <row r="83" spans="1:128" x14ac:dyDescent="0.25">
      <c r="A83" s="58"/>
      <c r="B83" s="58"/>
      <c r="G83" s="7" t="s">
        <v>23</v>
      </c>
      <c r="J83" s="58"/>
      <c r="K83" s="58"/>
      <c r="P83" s="7" t="s">
        <v>43</v>
      </c>
      <c r="S83" s="58"/>
      <c r="T83" s="58"/>
      <c r="Y83" s="7" t="s">
        <v>50</v>
      </c>
      <c r="AB83" s="58"/>
      <c r="AC83" s="58"/>
      <c r="AH83" s="7" t="s">
        <v>58</v>
      </c>
      <c r="AK83" s="58"/>
      <c r="AL83" s="58"/>
      <c r="AQ83" s="7" t="s">
        <v>63</v>
      </c>
      <c r="AT83" s="58"/>
      <c r="AU83" s="58"/>
      <c r="AZ83" s="7" t="s">
        <v>66</v>
      </c>
      <c r="BC83" s="58"/>
      <c r="BD83" s="58"/>
      <c r="BI83" s="7" t="s">
        <v>69</v>
      </c>
      <c r="BL83" s="58"/>
      <c r="BM83" s="58"/>
      <c r="BR83" s="7" t="s">
        <v>71</v>
      </c>
      <c r="BU83" s="58"/>
      <c r="BV83" s="58"/>
      <c r="CA83" s="7" t="s">
        <v>75</v>
      </c>
      <c r="CD83" s="58"/>
      <c r="CE83" s="58"/>
      <c r="CJ83" s="7" t="s">
        <v>77</v>
      </c>
      <c r="CM83" s="58"/>
      <c r="CN83" s="58"/>
      <c r="CS83" s="7" t="s">
        <v>81</v>
      </c>
      <c r="CV83" s="58"/>
      <c r="CW83" s="58"/>
      <c r="DB83" s="7" t="s">
        <v>84</v>
      </c>
      <c r="DE83" s="58"/>
      <c r="DF83" s="58"/>
      <c r="DK83" s="7" t="s">
        <v>86</v>
      </c>
      <c r="DN83" s="58"/>
      <c r="DO83" s="58"/>
      <c r="DT83" s="7" t="s">
        <v>88</v>
      </c>
    </row>
    <row r="84" spans="1:128" x14ac:dyDescent="0.25">
      <c r="A84" s="67" t="s">
        <v>28</v>
      </c>
      <c r="B84" s="57"/>
      <c r="J84" s="67" t="s">
        <v>28</v>
      </c>
      <c r="K84" s="57"/>
      <c r="S84" s="67" t="s">
        <v>28</v>
      </c>
      <c r="T84" s="57"/>
      <c r="AB84" s="67" t="s">
        <v>28</v>
      </c>
      <c r="AC84" s="57"/>
      <c r="AK84" s="67" t="s">
        <v>28</v>
      </c>
      <c r="AL84" s="57"/>
      <c r="AT84" s="67" t="s">
        <v>28</v>
      </c>
      <c r="AU84" s="57"/>
      <c r="BC84" s="67" t="s">
        <v>28</v>
      </c>
      <c r="BD84" s="57"/>
      <c r="BL84" s="67" t="s">
        <v>28</v>
      </c>
      <c r="BM84" s="57"/>
      <c r="BU84" s="67" t="s">
        <v>28</v>
      </c>
      <c r="BV84" s="57"/>
      <c r="CD84" s="67" t="s">
        <v>28</v>
      </c>
      <c r="CE84" s="57"/>
      <c r="CM84" s="67" t="s">
        <v>28</v>
      </c>
      <c r="CN84" s="57"/>
      <c r="CV84" s="67" t="s">
        <v>28</v>
      </c>
      <c r="CW84" s="57"/>
      <c r="DE84" s="67" t="s">
        <v>28</v>
      </c>
      <c r="DF84" s="57"/>
      <c r="DN84" s="67" t="s">
        <v>28</v>
      </c>
      <c r="DO84" s="57"/>
    </row>
    <row r="85" spans="1:128" x14ac:dyDescent="0.25">
      <c r="A85" s="58"/>
      <c r="B85" s="58"/>
      <c r="C85" s="9">
        <v>45810</v>
      </c>
      <c r="J85" s="58"/>
      <c r="K85" s="58"/>
      <c r="L85" s="9">
        <v>45813</v>
      </c>
      <c r="S85" s="58"/>
      <c r="T85" s="58"/>
      <c r="U85" s="9">
        <v>45816</v>
      </c>
      <c r="AB85" s="58"/>
      <c r="AC85" s="58"/>
      <c r="AD85" s="9">
        <v>45819</v>
      </c>
      <c r="AE85" s="9"/>
      <c r="AF85" s="9"/>
      <c r="AG85" s="9"/>
      <c r="AK85" s="58"/>
      <c r="AL85" s="58"/>
      <c r="AM85" s="9">
        <v>45822</v>
      </c>
      <c r="AT85" s="58"/>
      <c r="AU85" s="58"/>
      <c r="AV85" s="9">
        <v>45825</v>
      </c>
      <c r="BC85" s="58"/>
      <c r="BD85" s="58"/>
      <c r="BE85" s="9">
        <v>45828</v>
      </c>
      <c r="BF85" s="9"/>
      <c r="BG85" s="9"/>
      <c r="BH85" s="9"/>
      <c r="BL85" s="58"/>
      <c r="BM85" s="58"/>
      <c r="BN85" s="9">
        <v>45832</v>
      </c>
      <c r="BO85" s="9"/>
      <c r="BP85" s="9"/>
      <c r="BQ85" s="9"/>
      <c r="BU85" s="58"/>
      <c r="BV85" s="58"/>
      <c r="BW85" s="9">
        <v>45836</v>
      </c>
      <c r="CD85" s="58"/>
      <c r="CE85" s="58"/>
      <c r="CF85" s="9">
        <v>45839</v>
      </c>
      <c r="CM85" s="58"/>
      <c r="CN85" s="58"/>
      <c r="CO85" s="9">
        <v>45844</v>
      </c>
      <c r="CV85" s="58"/>
      <c r="CW85" s="58"/>
      <c r="CX85" s="9">
        <v>45849</v>
      </c>
      <c r="DE85" s="58"/>
      <c r="DF85" s="58"/>
      <c r="DG85" s="9">
        <v>45855</v>
      </c>
      <c r="DN85" s="58"/>
      <c r="DO85" s="58"/>
      <c r="DP85" s="9">
        <v>45859</v>
      </c>
    </row>
    <row r="86" spans="1:128" x14ac:dyDescent="0.25">
      <c r="A86" s="59"/>
      <c r="B86" s="59"/>
      <c r="C86" s="11"/>
      <c r="D86" s="11" t="s">
        <v>3</v>
      </c>
      <c r="E86" s="11" t="s">
        <v>4</v>
      </c>
      <c r="F86" s="11" t="s">
        <v>5</v>
      </c>
      <c r="G86" s="60" t="s">
        <v>6</v>
      </c>
      <c r="H86" s="61" t="s">
        <v>7</v>
      </c>
      <c r="J86" s="59"/>
      <c r="K86" s="59"/>
      <c r="L86" s="11"/>
      <c r="M86" s="11" t="s">
        <v>3</v>
      </c>
      <c r="N86" s="11" t="s">
        <v>4</v>
      </c>
      <c r="O86" s="11" t="s">
        <v>5</v>
      </c>
      <c r="P86" s="60" t="s">
        <v>6</v>
      </c>
      <c r="Q86" s="61" t="s">
        <v>7</v>
      </c>
      <c r="S86" s="59"/>
      <c r="T86" s="59"/>
      <c r="U86" s="11"/>
      <c r="V86" s="11" t="s">
        <v>3</v>
      </c>
      <c r="W86" s="11" t="s">
        <v>4</v>
      </c>
      <c r="X86" s="11" t="s">
        <v>5</v>
      </c>
      <c r="Y86" s="60" t="s">
        <v>6</v>
      </c>
      <c r="Z86" s="61" t="s">
        <v>7</v>
      </c>
      <c r="AB86" s="59"/>
      <c r="AC86" s="59"/>
      <c r="AD86" s="11"/>
      <c r="AE86" s="11" t="s">
        <v>3</v>
      </c>
      <c r="AF86" s="11" t="s">
        <v>4</v>
      </c>
      <c r="AG86" s="11" t="s">
        <v>5</v>
      </c>
      <c r="AH86" s="60" t="s">
        <v>6</v>
      </c>
      <c r="AI86" s="61" t="s">
        <v>7</v>
      </c>
      <c r="AK86" s="59"/>
      <c r="AL86" s="59"/>
      <c r="AM86" s="11"/>
      <c r="AN86" s="11" t="s">
        <v>3</v>
      </c>
      <c r="AO86" s="11" t="s">
        <v>4</v>
      </c>
      <c r="AP86" s="11" t="s">
        <v>5</v>
      </c>
      <c r="AQ86" s="60" t="s">
        <v>6</v>
      </c>
      <c r="AR86" s="61" t="s">
        <v>7</v>
      </c>
      <c r="AT86" s="59"/>
      <c r="AU86" s="59"/>
      <c r="AV86" s="11"/>
      <c r="AW86" s="11" t="s">
        <v>3</v>
      </c>
      <c r="AX86" s="11" t="s">
        <v>4</v>
      </c>
      <c r="AY86" s="11" t="s">
        <v>5</v>
      </c>
      <c r="AZ86" s="60" t="s">
        <v>6</v>
      </c>
      <c r="BA86" s="61" t="s">
        <v>7</v>
      </c>
      <c r="BC86" s="59"/>
      <c r="BD86" s="59"/>
      <c r="BE86" s="11"/>
      <c r="BF86" s="11" t="s">
        <v>3</v>
      </c>
      <c r="BG86" s="11" t="s">
        <v>4</v>
      </c>
      <c r="BH86" s="11" t="s">
        <v>5</v>
      </c>
      <c r="BI86" s="60" t="s">
        <v>6</v>
      </c>
      <c r="BJ86" s="61" t="s">
        <v>7</v>
      </c>
      <c r="BL86" s="59"/>
      <c r="BM86" s="59"/>
      <c r="BN86" s="11"/>
      <c r="BO86" s="11" t="s">
        <v>3</v>
      </c>
      <c r="BP86" s="11" t="s">
        <v>4</v>
      </c>
      <c r="BQ86" s="11" t="s">
        <v>5</v>
      </c>
      <c r="BR86" s="60" t="s">
        <v>6</v>
      </c>
      <c r="BS86" s="61"/>
      <c r="BU86" s="59"/>
      <c r="BV86" s="59"/>
      <c r="BW86" s="11"/>
      <c r="BX86" s="11" t="s">
        <v>3</v>
      </c>
      <c r="BY86" s="11" t="s">
        <v>4</v>
      </c>
      <c r="BZ86" s="11" t="s">
        <v>5</v>
      </c>
      <c r="CA86" s="60" t="s">
        <v>6</v>
      </c>
      <c r="CB86" s="61"/>
      <c r="CD86" s="59"/>
      <c r="CE86" s="59"/>
      <c r="CF86" s="11"/>
      <c r="CG86" s="11" t="s">
        <v>3</v>
      </c>
      <c r="CH86" s="11" t="s">
        <v>4</v>
      </c>
      <c r="CI86" s="11" t="s">
        <v>5</v>
      </c>
      <c r="CJ86" s="60" t="s">
        <v>6</v>
      </c>
      <c r="CK86" s="61"/>
      <c r="CM86" s="59"/>
      <c r="CN86" s="59"/>
      <c r="CO86" s="11"/>
      <c r="CP86" s="11" t="s">
        <v>3</v>
      </c>
      <c r="CQ86" s="11" t="s">
        <v>4</v>
      </c>
      <c r="CR86" s="11" t="s">
        <v>5</v>
      </c>
      <c r="CS86" s="60" t="s">
        <v>6</v>
      </c>
      <c r="CT86" s="61"/>
      <c r="CV86" s="59"/>
      <c r="CW86" s="59"/>
      <c r="CX86" s="11"/>
      <c r="CY86" s="11" t="s">
        <v>3</v>
      </c>
      <c r="CZ86" s="11" t="s">
        <v>4</v>
      </c>
      <c r="DA86" s="11" t="s">
        <v>5</v>
      </c>
      <c r="DB86" s="60" t="s">
        <v>6</v>
      </c>
      <c r="DC86" s="61"/>
      <c r="DE86" s="59"/>
      <c r="DF86" s="59"/>
      <c r="DG86" s="11"/>
      <c r="DH86" s="11" t="s">
        <v>3</v>
      </c>
      <c r="DI86" s="11" t="s">
        <v>4</v>
      </c>
      <c r="DJ86" s="11" t="s">
        <v>5</v>
      </c>
      <c r="DK86" s="60" t="s">
        <v>6</v>
      </c>
      <c r="DL86" s="61"/>
      <c r="DN86" s="59"/>
      <c r="DO86" s="59"/>
      <c r="DP86" s="11"/>
      <c r="DQ86" s="11" t="s">
        <v>3</v>
      </c>
      <c r="DR86" s="11" t="s">
        <v>4</v>
      </c>
      <c r="DS86" s="11" t="s">
        <v>5</v>
      </c>
      <c r="DT86" s="60" t="s">
        <v>6</v>
      </c>
      <c r="DU86" s="61"/>
    </row>
    <row r="87" spans="1:128" x14ac:dyDescent="0.25">
      <c r="A87" s="59">
        <v>1</v>
      </c>
      <c r="B87" s="59">
        <v>1</v>
      </c>
      <c r="C87" s="29"/>
      <c r="D87" s="14">
        <v>5</v>
      </c>
      <c r="E87" s="14">
        <v>5</v>
      </c>
      <c r="F87" s="14">
        <v>3</v>
      </c>
      <c r="G87" s="62">
        <f>D87*E87*F87*0.52</f>
        <v>39</v>
      </c>
      <c r="H87" s="66"/>
      <c r="J87" s="59">
        <v>1</v>
      </c>
      <c r="K87" s="59">
        <v>1</v>
      </c>
      <c r="L87" s="29"/>
      <c r="M87" s="14">
        <v>2</v>
      </c>
      <c r="N87" s="14">
        <v>2</v>
      </c>
      <c r="O87" s="14">
        <v>2</v>
      </c>
      <c r="P87" s="62">
        <f>M87*N87*O87*0.52</f>
        <v>4.16</v>
      </c>
      <c r="Q87" s="66"/>
      <c r="S87" s="59">
        <v>1</v>
      </c>
      <c r="T87" s="59">
        <v>1</v>
      </c>
      <c r="U87" s="29"/>
      <c r="V87" s="14">
        <v>6</v>
      </c>
      <c r="W87" s="14">
        <v>6</v>
      </c>
      <c r="X87" s="14">
        <v>2</v>
      </c>
      <c r="Y87" s="62">
        <f>V87*W87*X87*0.52</f>
        <v>37.44</v>
      </c>
      <c r="Z87" s="66" t="s">
        <v>57</v>
      </c>
      <c r="AB87" s="59">
        <v>1</v>
      </c>
      <c r="AC87" s="59">
        <v>1</v>
      </c>
      <c r="AD87" s="29"/>
      <c r="AE87" s="14">
        <v>8</v>
      </c>
      <c r="AF87" s="14">
        <v>8</v>
      </c>
      <c r="AG87" s="14">
        <v>3</v>
      </c>
      <c r="AH87" s="62">
        <f>AE87*AF87*AG87*0.52</f>
        <v>99.84</v>
      </c>
      <c r="AI87" s="66" t="s">
        <v>61</v>
      </c>
      <c r="AK87" s="59">
        <v>1</v>
      </c>
      <c r="AL87" s="59">
        <v>1</v>
      </c>
      <c r="AM87" s="29"/>
      <c r="AN87" s="14">
        <v>5</v>
      </c>
      <c r="AO87" s="14">
        <v>5</v>
      </c>
      <c r="AP87" s="14">
        <v>2</v>
      </c>
      <c r="AQ87" s="62">
        <f>AN87*AO87*AP87*0.52</f>
        <v>26</v>
      </c>
      <c r="AR87" s="66"/>
      <c r="AT87" s="59">
        <v>1</v>
      </c>
      <c r="AU87" s="59">
        <v>1</v>
      </c>
      <c r="AV87" s="29"/>
      <c r="AW87" s="14">
        <v>5</v>
      </c>
      <c r="AX87" s="14">
        <v>5</v>
      </c>
      <c r="AY87" s="14">
        <v>2</v>
      </c>
      <c r="AZ87" s="62">
        <f>AW87*AX87*AY87*0.52</f>
        <v>26</v>
      </c>
      <c r="BA87" s="66"/>
      <c r="BC87" s="59">
        <v>1</v>
      </c>
      <c r="BD87" s="59">
        <v>1</v>
      </c>
      <c r="BE87" s="29"/>
      <c r="BF87" s="14">
        <v>5</v>
      </c>
      <c r="BG87" s="14">
        <v>5</v>
      </c>
      <c r="BH87" s="14">
        <v>2</v>
      </c>
      <c r="BI87" s="62">
        <f>BF87*BG87*BH87*0.52</f>
        <v>26</v>
      </c>
      <c r="BJ87" s="66"/>
      <c r="BL87" s="59">
        <v>1</v>
      </c>
      <c r="BM87" s="59">
        <v>1</v>
      </c>
      <c r="BN87" s="29"/>
      <c r="BO87" s="14">
        <v>3</v>
      </c>
      <c r="BP87" s="14">
        <v>3</v>
      </c>
      <c r="BQ87" s="14">
        <v>3</v>
      </c>
      <c r="BR87" s="62">
        <f>BO87*BP87*BQ87*0.52</f>
        <v>14.040000000000001</v>
      </c>
      <c r="BS87" s="66"/>
      <c r="BU87" s="59">
        <v>1</v>
      </c>
      <c r="BV87" s="59">
        <v>1</v>
      </c>
      <c r="BW87" s="29"/>
      <c r="BX87" s="14" t="s">
        <v>49</v>
      </c>
      <c r="BY87" s="14"/>
      <c r="BZ87" s="14"/>
      <c r="CA87" s="75">
        <v>0</v>
      </c>
      <c r="CB87" s="66"/>
      <c r="CD87" s="59">
        <v>1</v>
      </c>
      <c r="CE87" s="59">
        <v>1</v>
      </c>
      <c r="CF87" s="29"/>
      <c r="CG87" s="14" t="s">
        <v>49</v>
      </c>
      <c r="CH87" s="14"/>
      <c r="CI87" s="14"/>
      <c r="CJ87" s="75">
        <v>0</v>
      </c>
      <c r="CK87" s="66"/>
      <c r="CM87" s="59">
        <v>1</v>
      </c>
      <c r="CN87" s="59">
        <v>1</v>
      </c>
      <c r="CO87" s="29"/>
      <c r="CP87" s="14" t="s">
        <v>49</v>
      </c>
      <c r="CQ87" s="14"/>
      <c r="CR87" s="14"/>
      <c r="CS87" s="75">
        <v>0</v>
      </c>
      <c r="CT87" s="66"/>
      <c r="CV87" s="59">
        <v>1</v>
      </c>
      <c r="CW87" s="59">
        <v>1</v>
      </c>
      <c r="CX87" s="29"/>
      <c r="CY87" s="15" t="s">
        <v>49</v>
      </c>
      <c r="CZ87" s="15"/>
      <c r="DA87" s="15"/>
      <c r="DB87" s="75">
        <v>0</v>
      </c>
      <c r="DC87" s="66"/>
      <c r="DE87" s="59">
        <v>1</v>
      </c>
      <c r="DF87" s="59">
        <v>1</v>
      </c>
      <c r="DG87" s="29"/>
      <c r="DH87" s="15" t="s">
        <v>49</v>
      </c>
      <c r="DI87" s="15"/>
      <c r="DJ87" s="15"/>
      <c r="DK87" s="75">
        <v>0</v>
      </c>
      <c r="DL87" s="66"/>
      <c r="DN87" s="59">
        <v>1</v>
      </c>
      <c r="DO87" s="59">
        <v>1</v>
      </c>
      <c r="DP87" s="29"/>
      <c r="DQ87" s="15" t="s">
        <v>49</v>
      </c>
      <c r="DR87" s="15"/>
      <c r="DS87" s="15"/>
      <c r="DT87" s="75">
        <v>0</v>
      </c>
      <c r="DU87" s="66"/>
      <c r="DX87">
        <v>41</v>
      </c>
    </row>
    <row r="88" spans="1:128" x14ac:dyDescent="0.25">
      <c r="A88" s="59">
        <v>2</v>
      </c>
      <c r="B88" s="59">
        <v>2</v>
      </c>
      <c r="C88" s="32"/>
      <c r="D88" s="14">
        <v>3</v>
      </c>
      <c r="E88" s="14">
        <v>3</v>
      </c>
      <c r="F88" s="14">
        <v>3</v>
      </c>
      <c r="G88" s="62">
        <f t="shared" ref="G88:G94" si="56">D88*E88*F88*0.52</f>
        <v>14.040000000000001</v>
      </c>
      <c r="H88" s="66"/>
      <c r="J88" s="59">
        <v>2</v>
      </c>
      <c r="K88" s="59">
        <v>2</v>
      </c>
      <c r="L88" s="32"/>
      <c r="M88" s="14">
        <v>4</v>
      </c>
      <c r="N88" s="14">
        <v>3</v>
      </c>
      <c r="O88" s="14">
        <v>2.5</v>
      </c>
      <c r="P88" s="62">
        <f t="shared" ref="P88:P94" si="57">M88*N88*O88*0.52</f>
        <v>15.600000000000001</v>
      </c>
      <c r="Q88" s="66"/>
      <c r="S88" s="59">
        <v>2</v>
      </c>
      <c r="T88" s="59">
        <v>2</v>
      </c>
      <c r="U88" s="32"/>
      <c r="V88" s="14">
        <v>5</v>
      </c>
      <c r="W88" s="14">
        <v>4.5999999999999996</v>
      </c>
      <c r="X88" s="14">
        <v>3</v>
      </c>
      <c r="Y88" s="62">
        <f t="shared" ref="Y88:Y94" si="58">V88*W88*X88*0.52</f>
        <v>35.880000000000003</v>
      </c>
      <c r="Z88" s="66"/>
      <c r="AB88" s="59">
        <v>2</v>
      </c>
      <c r="AC88" s="59">
        <v>2</v>
      </c>
      <c r="AD88" s="32"/>
      <c r="AE88" s="14">
        <v>5</v>
      </c>
      <c r="AF88" s="14">
        <v>5</v>
      </c>
      <c r="AG88" s="14">
        <v>3</v>
      </c>
      <c r="AH88" s="62">
        <f t="shared" ref="AH88:AH94" si="59">AE88*AF88*AG88*0.52</f>
        <v>39</v>
      </c>
      <c r="AI88" s="66"/>
      <c r="AK88" s="59">
        <v>2</v>
      </c>
      <c r="AL88" s="59">
        <v>2</v>
      </c>
      <c r="AM88" s="32"/>
      <c r="AN88" s="14">
        <v>6</v>
      </c>
      <c r="AO88" s="14">
        <v>6</v>
      </c>
      <c r="AP88" s="14">
        <v>5</v>
      </c>
      <c r="AQ88" s="62">
        <f t="shared" ref="AQ88:AQ94" si="60">AN88*AO88*AP88*0.52</f>
        <v>93.600000000000009</v>
      </c>
      <c r="AR88" s="66"/>
      <c r="AT88" s="59">
        <v>2</v>
      </c>
      <c r="AU88" s="59">
        <v>2</v>
      </c>
      <c r="AV88" s="32"/>
      <c r="AW88" s="14">
        <v>6.4</v>
      </c>
      <c r="AX88" s="14">
        <v>6</v>
      </c>
      <c r="AY88" s="14">
        <v>4.5</v>
      </c>
      <c r="AZ88" s="62">
        <f t="shared" ref="AZ88:AZ94" si="61">AW88*AX88*AY88*0.52</f>
        <v>89.856000000000009</v>
      </c>
      <c r="BA88" s="66"/>
      <c r="BC88" s="59">
        <v>2</v>
      </c>
      <c r="BD88" s="59">
        <v>2</v>
      </c>
      <c r="BE88" s="32"/>
      <c r="BF88" s="14">
        <v>7.7</v>
      </c>
      <c r="BG88" s="14">
        <v>9.3000000000000007</v>
      </c>
      <c r="BH88" s="14">
        <v>5.9</v>
      </c>
      <c r="BI88" s="62">
        <f t="shared" ref="BI88:BI94" si="62">BF88*BG88*BH88*0.52</f>
        <v>219.69948000000005</v>
      </c>
      <c r="BJ88" s="66"/>
      <c r="BL88" s="59">
        <v>2</v>
      </c>
      <c r="BM88" s="59">
        <v>2</v>
      </c>
      <c r="BN88" s="32"/>
      <c r="BO88" s="14">
        <v>12</v>
      </c>
      <c r="BP88" s="14">
        <v>10.5</v>
      </c>
      <c r="BQ88" s="14">
        <v>8</v>
      </c>
      <c r="BR88" s="62">
        <f t="shared" ref="BR88:BR94" si="63">BO88*BP88*BQ88*0.52</f>
        <v>524.16</v>
      </c>
      <c r="BS88" s="66"/>
      <c r="BU88" s="59">
        <v>2</v>
      </c>
      <c r="BV88" s="59">
        <v>2</v>
      </c>
      <c r="BW88" s="32"/>
      <c r="BX88" s="14">
        <v>15</v>
      </c>
      <c r="BY88" s="14">
        <v>12.8</v>
      </c>
      <c r="BZ88" s="14">
        <v>5.3</v>
      </c>
      <c r="CA88" s="62">
        <f t="shared" ref="CA88:CA92" si="64">BX88*BY88*BZ88*0.52</f>
        <v>529.15199999999993</v>
      </c>
      <c r="CB88" s="66"/>
      <c r="CD88" s="59">
        <v>2</v>
      </c>
      <c r="CE88" s="59">
        <v>2</v>
      </c>
      <c r="CF88" s="32"/>
      <c r="CG88" s="14">
        <v>22</v>
      </c>
      <c r="CH88" s="14">
        <v>18</v>
      </c>
      <c r="CI88" s="14">
        <v>9</v>
      </c>
      <c r="CJ88" s="62">
        <f t="shared" ref="CJ88:CJ92" si="65">CG88*CH88*CI88*0.52</f>
        <v>1853.28</v>
      </c>
      <c r="CK88" s="66"/>
      <c r="CM88" s="59">
        <v>2</v>
      </c>
      <c r="CN88" s="59">
        <v>2</v>
      </c>
      <c r="CO88" s="32"/>
      <c r="CP88" s="14">
        <v>27</v>
      </c>
      <c r="CQ88" s="14">
        <v>20</v>
      </c>
      <c r="CR88" s="14">
        <v>12</v>
      </c>
      <c r="CS88" s="82">
        <f t="shared" ref="CS88:CS92" si="66">CP88*CQ88*CR88*0.52</f>
        <v>3369.6</v>
      </c>
      <c r="CT88" s="66" t="s">
        <v>82</v>
      </c>
      <c r="CV88" s="59">
        <v>2</v>
      </c>
      <c r="CW88" s="59">
        <v>2</v>
      </c>
      <c r="CX88" s="32"/>
      <c r="CY88" s="85"/>
      <c r="CZ88" s="85"/>
      <c r="DA88" s="85"/>
      <c r="DB88" s="82"/>
      <c r="DC88" s="66" t="s">
        <v>82</v>
      </c>
      <c r="DE88" s="59">
        <v>2</v>
      </c>
      <c r="DF88" s="59">
        <v>2</v>
      </c>
      <c r="DG88" s="32"/>
      <c r="DH88" s="85"/>
      <c r="DI88" s="85"/>
      <c r="DJ88" s="85"/>
      <c r="DK88" s="82"/>
      <c r="DL88" s="66" t="s">
        <v>82</v>
      </c>
      <c r="DN88" s="59">
        <v>2</v>
      </c>
      <c r="DO88" s="59">
        <v>2</v>
      </c>
      <c r="DP88" s="32"/>
      <c r="DQ88" s="85"/>
      <c r="DR88" s="85"/>
      <c r="DS88" s="85"/>
      <c r="DT88" s="82"/>
      <c r="DU88" s="66" t="s">
        <v>82</v>
      </c>
      <c r="DX88">
        <v>41</v>
      </c>
    </row>
    <row r="89" spans="1:128" x14ac:dyDescent="0.25">
      <c r="A89" s="59">
        <v>3</v>
      </c>
      <c r="B89" s="59">
        <v>3</v>
      </c>
      <c r="C89" s="33"/>
      <c r="D89" s="14">
        <v>5</v>
      </c>
      <c r="E89" s="14">
        <v>5</v>
      </c>
      <c r="F89" s="14">
        <v>3</v>
      </c>
      <c r="G89" s="62">
        <f t="shared" si="56"/>
        <v>39</v>
      </c>
      <c r="H89" s="66"/>
      <c r="J89" s="59">
        <v>3</v>
      </c>
      <c r="K89" s="59">
        <v>3</v>
      </c>
      <c r="L89" s="33"/>
      <c r="M89" s="14">
        <v>7</v>
      </c>
      <c r="N89" s="14">
        <v>7</v>
      </c>
      <c r="O89" s="14">
        <v>3</v>
      </c>
      <c r="P89" s="62">
        <f t="shared" si="57"/>
        <v>76.44</v>
      </c>
      <c r="Q89" s="66"/>
      <c r="S89" s="59">
        <v>3</v>
      </c>
      <c r="T89" s="59">
        <v>3</v>
      </c>
      <c r="U89" s="33"/>
      <c r="V89" s="14">
        <v>8.1</v>
      </c>
      <c r="W89" s="14">
        <v>6</v>
      </c>
      <c r="X89" s="14">
        <v>3.8</v>
      </c>
      <c r="Y89" s="62">
        <f t="shared" si="58"/>
        <v>96.033599999999993</v>
      </c>
      <c r="Z89" s="66"/>
      <c r="AB89" s="59">
        <v>3</v>
      </c>
      <c r="AC89" s="59">
        <v>3</v>
      </c>
      <c r="AD89" s="33"/>
      <c r="AE89" s="14">
        <v>7</v>
      </c>
      <c r="AF89" s="14">
        <v>7</v>
      </c>
      <c r="AG89" s="14">
        <v>3</v>
      </c>
      <c r="AH89" s="62">
        <f t="shared" si="59"/>
        <v>76.44</v>
      </c>
      <c r="AI89" s="66" t="s">
        <v>61</v>
      </c>
      <c r="AK89" s="59">
        <v>3</v>
      </c>
      <c r="AL89" s="59">
        <v>3</v>
      </c>
      <c r="AM89" s="33"/>
      <c r="AN89" s="14">
        <v>6</v>
      </c>
      <c r="AO89" s="14">
        <v>6</v>
      </c>
      <c r="AP89" s="14">
        <v>2</v>
      </c>
      <c r="AQ89" s="62">
        <f t="shared" si="60"/>
        <v>37.44</v>
      </c>
      <c r="AR89" s="66" t="s">
        <v>61</v>
      </c>
      <c r="AT89" s="59">
        <v>3</v>
      </c>
      <c r="AU89" s="59">
        <v>3</v>
      </c>
      <c r="AV89" s="33"/>
      <c r="AW89" s="14">
        <v>6</v>
      </c>
      <c r="AX89" s="14">
        <v>6</v>
      </c>
      <c r="AY89" s="14">
        <v>2</v>
      </c>
      <c r="AZ89" s="62">
        <f t="shared" si="61"/>
        <v>37.44</v>
      </c>
      <c r="BA89" s="66"/>
      <c r="BC89" s="59">
        <v>3</v>
      </c>
      <c r="BD89" s="59">
        <v>3</v>
      </c>
      <c r="BE89" s="33"/>
      <c r="BF89" s="14">
        <v>3</v>
      </c>
      <c r="BG89" s="14">
        <v>3</v>
      </c>
      <c r="BH89" s="14">
        <v>2</v>
      </c>
      <c r="BI89" s="62">
        <f t="shared" si="62"/>
        <v>9.36</v>
      </c>
      <c r="BJ89" s="66"/>
      <c r="BL89" s="59">
        <v>3</v>
      </c>
      <c r="BM89" s="59">
        <v>3</v>
      </c>
      <c r="BN89" s="33"/>
      <c r="BO89" s="14" t="s">
        <v>49</v>
      </c>
      <c r="BP89" s="14"/>
      <c r="BQ89" s="14"/>
      <c r="BR89" s="75">
        <v>0</v>
      </c>
      <c r="BS89" s="66"/>
      <c r="BU89" s="59">
        <v>3</v>
      </c>
      <c r="BV89" s="59">
        <v>3</v>
      </c>
      <c r="BW89" s="33"/>
      <c r="BX89" s="14" t="s">
        <v>49</v>
      </c>
      <c r="BY89" s="14"/>
      <c r="BZ89" s="14"/>
      <c r="CA89" s="75">
        <v>0</v>
      </c>
      <c r="CB89" s="66"/>
      <c r="CD89" s="59">
        <v>3</v>
      </c>
      <c r="CE89" s="59">
        <v>3</v>
      </c>
      <c r="CF89" s="33"/>
      <c r="CG89" s="14" t="s">
        <v>49</v>
      </c>
      <c r="CH89" s="14"/>
      <c r="CI89" s="14"/>
      <c r="CJ89" s="75">
        <v>0</v>
      </c>
      <c r="CK89" s="66"/>
      <c r="CM89" s="59">
        <v>3</v>
      </c>
      <c r="CN89" s="59">
        <v>3</v>
      </c>
      <c r="CO89" s="33"/>
      <c r="CP89" s="14" t="s">
        <v>49</v>
      </c>
      <c r="CQ89" s="14"/>
      <c r="CR89" s="14"/>
      <c r="CS89" s="75">
        <v>0</v>
      </c>
      <c r="CT89" s="66"/>
      <c r="CV89" s="59">
        <v>3</v>
      </c>
      <c r="CW89" s="59">
        <v>3</v>
      </c>
      <c r="CX89" s="33"/>
      <c r="CY89" s="15" t="s">
        <v>49</v>
      </c>
      <c r="CZ89" s="15"/>
      <c r="DA89" s="15"/>
      <c r="DB89" s="75">
        <v>0</v>
      </c>
      <c r="DC89" s="66"/>
      <c r="DE89" s="59">
        <v>3</v>
      </c>
      <c r="DF89" s="59">
        <v>3</v>
      </c>
      <c r="DG89" s="33"/>
      <c r="DH89" s="15" t="s">
        <v>49</v>
      </c>
      <c r="DI89" s="15"/>
      <c r="DJ89" s="15"/>
      <c r="DK89" s="75">
        <v>0</v>
      </c>
      <c r="DL89" s="66"/>
      <c r="DN89" s="59">
        <v>3</v>
      </c>
      <c r="DO89" s="59">
        <v>3</v>
      </c>
      <c r="DP89" s="33"/>
      <c r="DQ89" s="15" t="s">
        <v>49</v>
      </c>
      <c r="DR89" s="15"/>
      <c r="DS89" s="15"/>
      <c r="DT89" s="75">
        <v>0</v>
      </c>
      <c r="DU89" s="66"/>
      <c r="DX89">
        <v>41</v>
      </c>
    </row>
    <row r="90" spans="1:128" x14ac:dyDescent="0.25">
      <c r="A90" s="59">
        <v>4</v>
      </c>
      <c r="B90" s="59">
        <v>4</v>
      </c>
      <c r="C90" s="33"/>
      <c r="D90" s="14">
        <v>6</v>
      </c>
      <c r="E90" s="14">
        <v>4</v>
      </c>
      <c r="F90" s="14">
        <v>3</v>
      </c>
      <c r="G90" s="62">
        <f t="shared" si="56"/>
        <v>37.44</v>
      </c>
      <c r="H90" s="66"/>
      <c r="J90" s="59">
        <v>4</v>
      </c>
      <c r="K90" s="59">
        <v>4</v>
      </c>
      <c r="L90" s="33"/>
      <c r="M90" s="14">
        <v>6</v>
      </c>
      <c r="N90" s="14">
        <v>6</v>
      </c>
      <c r="O90" s="14">
        <v>3</v>
      </c>
      <c r="P90" s="62">
        <f t="shared" si="57"/>
        <v>56.160000000000004</v>
      </c>
      <c r="Q90" s="66"/>
      <c r="S90" s="59">
        <v>4</v>
      </c>
      <c r="T90" s="59">
        <v>4</v>
      </c>
      <c r="U90" s="33"/>
      <c r="V90" s="14">
        <v>6.1</v>
      </c>
      <c r="W90" s="14">
        <v>6.8</v>
      </c>
      <c r="X90" s="14">
        <v>3.6</v>
      </c>
      <c r="Y90" s="62">
        <f t="shared" si="58"/>
        <v>77.650559999999999</v>
      </c>
      <c r="Z90" s="66"/>
      <c r="AB90" s="59">
        <v>4</v>
      </c>
      <c r="AC90" s="59">
        <v>4</v>
      </c>
      <c r="AD90" s="33"/>
      <c r="AE90" s="14">
        <v>7.3</v>
      </c>
      <c r="AF90" s="14">
        <v>5.2</v>
      </c>
      <c r="AG90" s="14">
        <v>3.6</v>
      </c>
      <c r="AH90" s="62">
        <f t="shared" si="59"/>
        <v>71.061120000000003</v>
      </c>
      <c r="AI90" s="66"/>
      <c r="AK90" s="59">
        <v>4</v>
      </c>
      <c r="AL90" s="59">
        <v>4</v>
      </c>
      <c r="AM90" s="33"/>
      <c r="AN90" s="14">
        <v>7.8</v>
      </c>
      <c r="AO90" s="14">
        <v>6.3</v>
      </c>
      <c r="AP90" s="14">
        <v>4.4000000000000004</v>
      </c>
      <c r="AQ90" s="62">
        <f t="shared" si="60"/>
        <v>112.43232</v>
      </c>
      <c r="AR90" s="66"/>
      <c r="AT90" s="59">
        <v>4</v>
      </c>
      <c r="AU90" s="59">
        <v>4</v>
      </c>
      <c r="AV90" s="33"/>
      <c r="AW90" s="14">
        <v>6</v>
      </c>
      <c r="AX90" s="14">
        <v>7</v>
      </c>
      <c r="AY90" s="14">
        <v>4.3</v>
      </c>
      <c r="AZ90" s="62">
        <f t="shared" si="61"/>
        <v>93.912000000000006</v>
      </c>
      <c r="BA90" s="66"/>
      <c r="BC90" s="59">
        <v>4</v>
      </c>
      <c r="BD90" s="59">
        <v>4</v>
      </c>
      <c r="BE90" s="33"/>
      <c r="BF90" s="14">
        <v>7</v>
      </c>
      <c r="BG90" s="14">
        <v>7</v>
      </c>
      <c r="BH90" s="14">
        <v>5</v>
      </c>
      <c r="BI90" s="62">
        <f t="shared" si="62"/>
        <v>127.4</v>
      </c>
      <c r="BJ90" s="66"/>
      <c r="BL90" s="59">
        <v>4</v>
      </c>
      <c r="BM90" s="59">
        <v>4</v>
      </c>
      <c r="BN90" s="33"/>
      <c r="BO90" s="14">
        <v>3</v>
      </c>
      <c r="BP90" s="14">
        <v>3</v>
      </c>
      <c r="BQ90" s="14">
        <v>3</v>
      </c>
      <c r="BR90" s="62">
        <f t="shared" si="63"/>
        <v>14.040000000000001</v>
      </c>
      <c r="BS90" s="66"/>
      <c r="BU90" s="59">
        <v>4</v>
      </c>
      <c r="BV90" s="59">
        <v>4</v>
      </c>
      <c r="BW90" s="33"/>
      <c r="BX90" s="14">
        <v>12.9</v>
      </c>
      <c r="BY90" s="14">
        <v>8.9</v>
      </c>
      <c r="BZ90" s="14">
        <v>4.8</v>
      </c>
      <c r="CA90" s="62">
        <f t="shared" si="64"/>
        <v>286.56576000000001</v>
      </c>
      <c r="CB90" s="66"/>
      <c r="CD90" s="59">
        <v>4</v>
      </c>
      <c r="CE90" s="59">
        <v>4</v>
      </c>
      <c r="CF90" s="33"/>
      <c r="CG90" s="14">
        <v>15</v>
      </c>
      <c r="CH90" s="14">
        <v>11</v>
      </c>
      <c r="CI90" s="14">
        <v>9.6999999999999993</v>
      </c>
      <c r="CJ90" s="62">
        <f t="shared" si="65"/>
        <v>832.25999999999988</v>
      </c>
      <c r="CK90" s="66"/>
      <c r="CM90" s="59">
        <v>4</v>
      </c>
      <c r="CN90" s="59">
        <v>4</v>
      </c>
      <c r="CO90" s="33"/>
      <c r="CP90" s="14">
        <v>19.8</v>
      </c>
      <c r="CQ90" s="14">
        <v>14</v>
      </c>
      <c r="CR90" s="14">
        <v>8</v>
      </c>
      <c r="CS90" s="62">
        <f t="shared" si="66"/>
        <v>1153.152</v>
      </c>
      <c r="CT90" s="66"/>
      <c r="CV90" s="59">
        <v>4</v>
      </c>
      <c r="CW90" s="59">
        <v>4</v>
      </c>
      <c r="CX90" s="33"/>
      <c r="CY90" s="14">
        <v>26</v>
      </c>
      <c r="CZ90" s="14">
        <v>18</v>
      </c>
      <c r="DA90" s="14">
        <v>11.8</v>
      </c>
      <c r="DB90" s="76">
        <f t="shared" ref="DB90:DB91" si="67">CY90*CZ90*DA90*0.52</f>
        <v>2871.6480000000006</v>
      </c>
      <c r="DC90" s="66" t="s">
        <v>85</v>
      </c>
      <c r="DE90" s="59">
        <v>4</v>
      </c>
      <c r="DF90" s="59">
        <v>4</v>
      </c>
      <c r="DG90" s="33"/>
      <c r="DH90" s="76"/>
      <c r="DI90" s="76"/>
      <c r="DJ90" s="76"/>
      <c r="DK90" s="76"/>
      <c r="DL90" s="66" t="s">
        <v>85</v>
      </c>
      <c r="DN90" s="59">
        <v>4</v>
      </c>
      <c r="DO90" s="59">
        <v>4</v>
      </c>
      <c r="DP90" s="33"/>
      <c r="DQ90" s="76"/>
      <c r="DR90" s="76"/>
      <c r="DS90" s="76"/>
      <c r="DT90" s="76"/>
      <c r="DU90" s="66" t="s">
        <v>85</v>
      </c>
      <c r="DX90">
        <v>46</v>
      </c>
    </row>
    <row r="91" spans="1:128" x14ac:dyDescent="0.25">
      <c r="A91" s="59">
        <v>5</v>
      </c>
      <c r="B91" s="59">
        <v>5</v>
      </c>
      <c r="C91" s="33"/>
      <c r="D91" s="14">
        <v>4</v>
      </c>
      <c r="E91" s="14">
        <v>4</v>
      </c>
      <c r="F91" s="14">
        <v>3</v>
      </c>
      <c r="G91" s="62">
        <f t="shared" si="56"/>
        <v>24.96</v>
      </c>
      <c r="H91" s="66"/>
      <c r="J91" s="59">
        <v>5</v>
      </c>
      <c r="K91" s="59">
        <v>5</v>
      </c>
      <c r="L91" s="33"/>
      <c r="M91" s="14">
        <v>5</v>
      </c>
      <c r="N91" s="14">
        <v>6</v>
      </c>
      <c r="O91" s="14">
        <v>2.5</v>
      </c>
      <c r="P91" s="62">
        <f t="shared" si="57"/>
        <v>39</v>
      </c>
      <c r="Q91" s="66"/>
      <c r="S91" s="59">
        <v>5</v>
      </c>
      <c r="T91" s="59">
        <v>5</v>
      </c>
      <c r="U91" s="33"/>
      <c r="V91" s="14">
        <v>5.9</v>
      </c>
      <c r="W91" s="14">
        <v>6</v>
      </c>
      <c r="X91" s="14">
        <v>2</v>
      </c>
      <c r="Y91" s="62">
        <f t="shared" si="58"/>
        <v>36.81600000000001</v>
      </c>
      <c r="Z91" s="66" t="s">
        <v>57</v>
      </c>
      <c r="AB91" s="59">
        <v>5</v>
      </c>
      <c r="AC91" s="59">
        <v>5</v>
      </c>
      <c r="AD91" s="33"/>
      <c r="AE91" s="14">
        <v>6</v>
      </c>
      <c r="AF91" s="14">
        <v>6</v>
      </c>
      <c r="AG91" s="14">
        <v>2</v>
      </c>
      <c r="AH91" s="62">
        <f t="shared" si="59"/>
        <v>37.44</v>
      </c>
      <c r="AI91" s="66" t="s">
        <v>61</v>
      </c>
      <c r="AK91" s="59">
        <v>5</v>
      </c>
      <c r="AL91" s="59">
        <v>5</v>
      </c>
      <c r="AM91" s="33"/>
      <c r="AN91" s="14">
        <v>5</v>
      </c>
      <c r="AO91" s="14">
        <v>5</v>
      </c>
      <c r="AP91" s="14">
        <v>2</v>
      </c>
      <c r="AQ91" s="62">
        <f t="shared" si="60"/>
        <v>26</v>
      </c>
      <c r="AR91" s="66"/>
      <c r="AT91" s="59">
        <v>5</v>
      </c>
      <c r="AU91" s="59">
        <v>5</v>
      </c>
      <c r="AV91" s="33"/>
      <c r="AW91" s="14">
        <v>6</v>
      </c>
      <c r="AX91" s="14">
        <v>6</v>
      </c>
      <c r="AY91" s="14">
        <v>3</v>
      </c>
      <c r="AZ91" s="62">
        <f t="shared" si="61"/>
        <v>56.160000000000004</v>
      </c>
      <c r="BA91" s="66"/>
      <c r="BC91" s="59">
        <v>5</v>
      </c>
      <c r="BD91" s="59">
        <v>5</v>
      </c>
      <c r="BE91" s="33"/>
      <c r="BF91" s="14">
        <v>5</v>
      </c>
      <c r="BG91" s="14">
        <v>5</v>
      </c>
      <c r="BH91" s="14">
        <v>3</v>
      </c>
      <c r="BI91" s="62">
        <f t="shared" si="62"/>
        <v>39</v>
      </c>
      <c r="BJ91" s="66"/>
      <c r="BL91" s="59">
        <v>5</v>
      </c>
      <c r="BM91" s="59">
        <v>5</v>
      </c>
      <c r="BN91" s="33"/>
      <c r="BO91" s="14">
        <v>5</v>
      </c>
      <c r="BP91" s="14">
        <v>5</v>
      </c>
      <c r="BQ91" s="14">
        <v>5</v>
      </c>
      <c r="BR91" s="62">
        <f t="shared" si="63"/>
        <v>65</v>
      </c>
      <c r="BS91" s="66"/>
      <c r="BU91" s="59">
        <v>5</v>
      </c>
      <c r="BV91" s="59">
        <v>5</v>
      </c>
      <c r="BW91" s="33"/>
      <c r="BX91" s="14">
        <v>6.6</v>
      </c>
      <c r="BY91" s="14">
        <v>6</v>
      </c>
      <c r="BZ91" s="14">
        <v>3.7</v>
      </c>
      <c r="CA91" s="62">
        <f t="shared" si="64"/>
        <v>76.190399999999997</v>
      </c>
      <c r="CB91" s="66"/>
      <c r="CD91" s="59">
        <v>5</v>
      </c>
      <c r="CE91" s="59">
        <v>5</v>
      </c>
      <c r="CF91" s="33"/>
      <c r="CG91" s="14">
        <v>10</v>
      </c>
      <c r="CH91" s="14">
        <v>10</v>
      </c>
      <c r="CI91" s="14">
        <v>5</v>
      </c>
      <c r="CJ91" s="62">
        <f t="shared" si="65"/>
        <v>260</v>
      </c>
      <c r="CK91" s="66"/>
      <c r="CM91" s="59">
        <v>5</v>
      </c>
      <c r="CN91" s="59">
        <v>5</v>
      </c>
      <c r="CO91" s="33"/>
      <c r="CP91" s="14">
        <v>13</v>
      </c>
      <c r="CQ91" s="14">
        <v>12</v>
      </c>
      <c r="CR91" s="14">
        <v>6.5</v>
      </c>
      <c r="CS91" s="62">
        <f t="shared" si="66"/>
        <v>527.28</v>
      </c>
      <c r="CT91" s="66"/>
      <c r="CV91" s="59">
        <v>5</v>
      </c>
      <c r="CW91" s="59">
        <v>5</v>
      </c>
      <c r="CX91" s="33"/>
      <c r="CY91" s="14">
        <v>19.399999999999999</v>
      </c>
      <c r="CZ91" s="14">
        <v>15.6</v>
      </c>
      <c r="DA91" s="14">
        <v>8.6</v>
      </c>
      <c r="DB91" s="62">
        <f t="shared" si="67"/>
        <v>1353.40608</v>
      </c>
      <c r="DC91" s="66"/>
      <c r="DE91" s="59">
        <v>5</v>
      </c>
      <c r="DF91" s="59">
        <v>5</v>
      </c>
      <c r="DG91" s="33"/>
      <c r="DH91" s="14">
        <v>23.6</v>
      </c>
      <c r="DI91" s="14">
        <v>19.3</v>
      </c>
      <c r="DJ91" s="14">
        <v>10.199999999999999</v>
      </c>
      <c r="DK91" s="76">
        <f t="shared" ref="DK91" si="68">DH91*DI91*DJ91*0.52</f>
        <v>2415.8659199999997</v>
      </c>
      <c r="DL91" s="66" t="s">
        <v>87</v>
      </c>
      <c r="DN91" s="59">
        <v>5</v>
      </c>
      <c r="DO91" s="59">
        <v>5</v>
      </c>
      <c r="DP91" s="33"/>
      <c r="DQ91" s="76"/>
      <c r="DR91" s="76"/>
      <c r="DS91" s="76"/>
      <c r="DT91" s="76"/>
      <c r="DU91" s="66" t="s">
        <v>87</v>
      </c>
      <c r="DX91">
        <v>46</v>
      </c>
    </row>
    <row r="92" spans="1:128" x14ac:dyDescent="0.25">
      <c r="A92" s="59">
        <v>6</v>
      </c>
      <c r="B92" s="59">
        <v>6</v>
      </c>
      <c r="C92" s="33"/>
      <c r="D92" s="14">
        <v>5</v>
      </c>
      <c r="E92" s="14">
        <v>5</v>
      </c>
      <c r="F92" s="14">
        <v>3</v>
      </c>
      <c r="G92" s="62">
        <f t="shared" si="56"/>
        <v>39</v>
      </c>
      <c r="H92" s="66"/>
      <c r="J92" s="59">
        <v>6</v>
      </c>
      <c r="K92" s="59">
        <v>6</v>
      </c>
      <c r="L92" s="33"/>
      <c r="M92" s="14">
        <v>3</v>
      </c>
      <c r="N92" s="14">
        <v>3</v>
      </c>
      <c r="O92" s="14">
        <v>2</v>
      </c>
      <c r="P92" s="62">
        <f t="shared" si="57"/>
        <v>9.36</v>
      </c>
      <c r="Q92" s="66"/>
      <c r="S92" s="59">
        <v>6</v>
      </c>
      <c r="T92" s="59">
        <v>6</v>
      </c>
      <c r="U92" s="33"/>
      <c r="V92" s="14">
        <v>3</v>
      </c>
      <c r="W92" s="14">
        <v>3</v>
      </c>
      <c r="X92" s="14">
        <v>2</v>
      </c>
      <c r="Y92" s="62">
        <f t="shared" si="58"/>
        <v>9.36</v>
      </c>
      <c r="Z92" s="66"/>
      <c r="AB92" s="59">
        <v>6</v>
      </c>
      <c r="AC92" s="59">
        <v>6</v>
      </c>
      <c r="AD92" s="33"/>
      <c r="AE92" s="14">
        <v>3</v>
      </c>
      <c r="AF92" s="14">
        <v>3</v>
      </c>
      <c r="AG92" s="14">
        <v>3</v>
      </c>
      <c r="AH92" s="62">
        <f t="shared" si="59"/>
        <v>14.040000000000001</v>
      </c>
      <c r="AI92" s="66"/>
      <c r="AK92" s="59">
        <v>6</v>
      </c>
      <c r="AL92" s="59">
        <v>6</v>
      </c>
      <c r="AM92" s="33"/>
      <c r="AN92" s="14">
        <v>5</v>
      </c>
      <c r="AO92" s="14">
        <v>3</v>
      </c>
      <c r="AP92" s="14">
        <v>3</v>
      </c>
      <c r="AQ92" s="62">
        <f t="shared" si="60"/>
        <v>23.400000000000002</v>
      </c>
      <c r="AR92" s="66"/>
      <c r="AT92" s="59">
        <v>6</v>
      </c>
      <c r="AU92" s="59">
        <v>6</v>
      </c>
      <c r="AV92" s="33"/>
      <c r="AW92" s="14">
        <v>5</v>
      </c>
      <c r="AX92" s="14">
        <v>5</v>
      </c>
      <c r="AY92" s="14">
        <v>3</v>
      </c>
      <c r="AZ92" s="62">
        <f t="shared" si="61"/>
        <v>39</v>
      </c>
      <c r="BA92" s="66"/>
      <c r="BC92" s="59">
        <v>6</v>
      </c>
      <c r="BD92" s="59">
        <v>6</v>
      </c>
      <c r="BE92" s="33"/>
      <c r="BF92" s="14">
        <v>7</v>
      </c>
      <c r="BG92" s="14">
        <v>5</v>
      </c>
      <c r="BH92" s="14">
        <v>5</v>
      </c>
      <c r="BI92" s="62">
        <f t="shared" si="62"/>
        <v>91</v>
      </c>
      <c r="BJ92" s="66"/>
      <c r="BL92" s="59">
        <v>6</v>
      </c>
      <c r="BM92" s="59">
        <v>6</v>
      </c>
      <c r="BN92" s="33"/>
      <c r="BO92" s="14">
        <v>10</v>
      </c>
      <c r="BP92" s="14">
        <v>8.5</v>
      </c>
      <c r="BQ92" s="14">
        <v>9</v>
      </c>
      <c r="BR92" s="62">
        <f t="shared" si="63"/>
        <v>397.8</v>
      </c>
      <c r="BS92" s="66"/>
      <c r="BU92" s="59">
        <v>6</v>
      </c>
      <c r="BV92" s="59">
        <v>6</v>
      </c>
      <c r="BW92" s="33"/>
      <c r="BX92" s="14">
        <v>13</v>
      </c>
      <c r="BY92" s="14">
        <v>10.8</v>
      </c>
      <c r="BZ92" s="14">
        <v>7.9</v>
      </c>
      <c r="CA92" s="62">
        <f t="shared" si="64"/>
        <v>576.7632000000001</v>
      </c>
      <c r="CB92" s="66"/>
      <c r="CD92" s="59">
        <v>6</v>
      </c>
      <c r="CE92" s="59">
        <v>6</v>
      </c>
      <c r="CF92" s="33"/>
      <c r="CG92" s="14">
        <v>16</v>
      </c>
      <c r="CH92" s="14">
        <v>14</v>
      </c>
      <c r="CI92" s="14">
        <v>12</v>
      </c>
      <c r="CJ92" s="62">
        <f t="shared" si="65"/>
        <v>1397.76</v>
      </c>
      <c r="CK92" s="66"/>
      <c r="CM92" s="59">
        <v>6</v>
      </c>
      <c r="CN92" s="59">
        <v>6</v>
      </c>
      <c r="CO92" s="33"/>
      <c r="CP92" s="14">
        <v>23</v>
      </c>
      <c r="CQ92" s="14">
        <v>22</v>
      </c>
      <c r="CR92" s="14">
        <v>17</v>
      </c>
      <c r="CS92" s="82">
        <f t="shared" si="66"/>
        <v>4473.04</v>
      </c>
      <c r="CT92" s="66" t="s">
        <v>82</v>
      </c>
      <c r="CV92" s="59">
        <v>6</v>
      </c>
      <c r="CW92" s="59">
        <v>6</v>
      </c>
      <c r="CX92" s="33"/>
      <c r="CY92" s="85"/>
      <c r="CZ92" s="85"/>
      <c r="DA92" s="85"/>
      <c r="DB92" s="82"/>
      <c r="DC92" s="66" t="s">
        <v>82</v>
      </c>
      <c r="DE92" s="59">
        <v>6</v>
      </c>
      <c r="DF92" s="59">
        <v>6</v>
      </c>
      <c r="DG92" s="33"/>
      <c r="DH92" s="85"/>
      <c r="DI92" s="85"/>
      <c r="DJ92" s="85"/>
      <c r="DK92" s="82"/>
      <c r="DL92" s="66" t="s">
        <v>82</v>
      </c>
      <c r="DN92" s="59">
        <v>6</v>
      </c>
      <c r="DO92" s="59">
        <v>6</v>
      </c>
      <c r="DP92" s="33"/>
      <c r="DQ92" s="85"/>
      <c r="DR92" s="85"/>
      <c r="DS92" s="85"/>
      <c r="DT92" s="82"/>
      <c r="DU92" s="66" t="s">
        <v>82</v>
      </c>
      <c r="DX92">
        <v>52</v>
      </c>
    </row>
    <row r="93" spans="1:128" x14ac:dyDescent="0.25">
      <c r="A93" s="59">
        <v>7</v>
      </c>
      <c r="B93" s="63">
        <v>14</v>
      </c>
      <c r="C93" s="32"/>
      <c r="D93" s="34">
        <v>6</v>
      </c>
      <c r="E93" s="34">
        <v>5</v>
      </c>
      <c r="F93" s="34">
        <v>4</v>
      </c>
      <c r="G93" s="62">
        <f t="shared" si="56"/>
        <v>62.400000000000006</v>
      </c>
      <c r="H93" s="66"/>
      <c r="J93" s="59">
        <v>7</v>
      </c>
      <c r="K93" s="63">
        <v>14</v>
      </c>
      <c r="L93" s="32"/>
      <c r="M93" s="34">
        <v>6</v>
      </c>
      <c r="N93" s="34">
        <v>5.7</v>
      </c>
      <c r="O93" s="34">
        <v>3</v>
      </c>
      <c r="P93" s="62">
        <f t="shared" si="57"/>
        <v>53.352000000000004</v>
      </c>
      <c r="Q93" s="66"/>
      <c r="S93" s="59">
        <v>7</v>
      </c>
      <c r="T93" s="63">
        <v>14</v>
      </c>
      <c r="U93" s="32"/>
      <c r="V93" s="34">
        <v>7.2</v>
      </c>
      <c r="W93" s="34">
        <v>7.9</v>
      </c>
      <c r="X93" s="34">
        <v>4</v>
      </c>
      <c r="Y93" s="62">
        <f t="shared" si="58"/>
        <v>118.31040000000002</v>
      </c>
      <c r="Z93" s="66" t="s">
        <v>57</v>
      </c>
      <c r="AB93" s="59">
        <v>7</v>
      </c>
      <c r="AC93" s="63">
        <v>14</v>
      </c>
      <c r="AD93" s="32"/>
      <c r="AE93" s="34">
        <v>6.3</v>
      </c>
      <c r="AF93" s="34">
        <v>7.8</v>
      </c>
      <c r="AG93" s="34">
        <v>4</v>
      </c>
      <c r="AH93" s="62">
        <f t="shared" si="59"/>
        <v>102.21120000000001</v>
      </c>
      <c r="AI93" s="66"/>
      <c r="AK93" s="59">
        <v>7</v>
      </c>
      <c r="AL93" s="63">
        <v>14</v>
      </c>
      <c r="AM93" s="32"/>
      <c r="AN93" s="34">
        <v>6</v>
      </c>
      <c r="AO93" s="34">
        <v>6</v>
      </c>
      <c r="AP93" s="34">
        <v>3</v>
      </c>
      <c r="AQ93" s="62">
        <f t="shared" si="60"/>
        <v>56.160000000000004</v>
      </c>
      <c r="AR93" s="66"/>
      <c r="AT93" s="59">
        <v>7</v>
      </c>
      <c r="AU93" s="63">
        <v>14</v>
      </c>
      <c r="AV93" s="32"/>
      <c r="AW93" s="34">
        <v>6</v>
      </c>
      <c r="AX93" s="34">
        <v>6</v>
      </c>
      <c r="AY93" s="34">
        <v>3</v>
      </c>
      <c r="AZ93" s="62">
        <f t="shared" si="61"/>
        <v>56.160000000000004</v>
      </c>
      <c r="BA93" s="66"/>
      <c r="BC93" s="59">
        <v>7</v>
      </c>
      <c r="BD93" s="63">
        <v>14</v>
      </c>
      <c r="BE93" s="32"/>
      <c r="BF93" s="34">
        <v>8</v>
      </c>
      <c r="BG93" s="34">
        <v>8</v>
      </c>
      <c r="BH93" s="34">
        <v>3</v>
      </c>
      <c r="BI93" s="62">
        <f t="shared" si="62"/>
        <v>99.84</v>
      </c>
      <c r="BJ93" s="66"/>
      <c r="BL93" s="59">
        <v>7</v>
      </c>
      <c r="BM93" s="63">
        <v>14</v>
      </c>
      <c r="BN93" s="32"/>
      <c r="BO93" s="34">
        <v>5</v>
      </c>
      <c r="BP93" s="34">
        <v>5</v>
      </c>
      <c r="BQ93" s="34">
        <v>3</v>
      </c>
      <c r="BR93" s="62">
        <f t="shared" si="63"/>
        <v>39</v>
      </c>
      <c r="BS93" s="66"/>
      <c r="BU93" s="59">
        <v>7</v>
      </c>
      <c r="BV93" s="63">
        <v>14</v>
      </c>
      <c r="BW93" s="32"/>
      <c r="BX93" s="34" t="s">
        <v>49</v>
      </c>
      <c r="BY93" s="34"/>
      <c r="BZ93" s="34"/>
      <c r="CA93" s="75">
        <v>0</v>
      </c>
      <c r="CB93" s="66"/>
      <c r="CD93" s="59">
        <v>7</v>
      </c>
      <c r="CE93" s="63">
        <v>14</v>
      </c>
      <c r="CF93" s="32"/>
      <c r="CG93" s="34" t="s">
        <v>49</v>
      </c>
      <c r="CH93" s="34"/>
      <c r="CI93" s="34"/>
      <c r="CJ93" s="75">
        <v>0</v>
      </c>
      <c r="CK93" s="66"/>
      <c r="CM93" s="59">
        <v>7</v>
      </c>
      <c r="CN93" s="63">
        <v>14</v>
      </c>
      <c r="CO93" s="32"/>
      <c r="CP93" s="34" t="s">
        <v>49</v>
      </c>
      <c r="CQ93" s="34"/>
      <c r="CR93" s="34"/>
      <c r="CS93" s="75">
        <v>0</v>
      </c>
      <c r="CT93" s="66"/>
      <c r="CV93" s="59">
        <v>7</v>
      </c>
      <c r="CW93" s="63">
        <v>14</v>
      </c>
      <c r="CX93" s="32"/>
      <c r="CY93" s="15" t="s">
        <v>49</v>
      </c>
      <c r="CZ93" s="15"/>
      <c r="DA93" s="15"/>
      <c r="DB93" s="75">
        <v>0</v>
      </c>
      <c r="DC93" s="66"/>
      <c r="DE93" s="59">
        <v>7</v>
      </c>
      <c r="DF93" s="63">
        <v>14</v>
      </c>
      <c r="DG93" s="32"/>
      <c r="DH93" s="15" t="s">
        <v>49</v>
      </c>
      <c r="DI93" s="15"/>
      <c r="DJ93" s="15"/>
      <c r="DK93" s="75">
        <v>0</v>
      </c>
      <c r="DL93" s="66"/>
      <c r="DN93" s="59">
        <v>7</v>
      </c>
      <c r="DO93" s="63">
        <v>14</v>
      </c>
      <c r="DP93" s="32"/>
      <c r="DQ93" s="15" t="s">
        <v>49</v>
      </c>
      <c r="DR93" s="15"/>
      <c r="DS93" s="15"/>
      <c r="DT93" s="75">
        <v>0</v>
      </c>
      <c r="DU93" s="66"/>
      <c r="DX93" s="88"/>
    </row>
    <row r="94" spans="1:128" x14ac:dyDescent="0.25">
      <c r="A94" s="59">
        <v>8</v>
      </c>
      <c r="B94" s="63">
        <v>15</v>
      </c>
      <c r="C94" s="32"/>
      <c r="D94" s="14">
        <v>5</v>
      </c>
      <c r="E94" s="14">
        <v>5</v>
      </c>
      <c r="F94" s="14">
        <v>4</v>
      </c>
      <c r="G94" s="62">
        <f t="shared" si="56"/>
        <v>52</v>
      </c>
      <c r="H94" s="66"/>
      <c r="J94" s="59">
        <v>8</v>
      </c>
      <c r="K94" s="63">
        <v>15</v>
      </c>
      <c r="L94" s="32"/>
      <c r="M94" s="14">
        <v>7</v>
      </c>
      <c r="N94" s="14">
        <v>6</v>
      </c>
      <c r="O94" s="14">
        <v>2.5</v>
      </c>
      <c r="P94" s="62">
        <f t="shared" si="57"/>
        <v>54.6</v>
      </c>
      <c r="Q94" s="66"/>
      <c r="S94" s="59">
        <v>8</v>
      </c>
      <c r="T94" s="63">
        <v>15</v>
      </c>
      <c r="U94" s="32"/>
      <c r="V94" s="14">
        <v>7.7</v>
      </c>
      <c r="W94" s="14">
        <v>8</v>
      </c>
      <c r="X94" s="14">
        <v>3.4</v>
      </c>
      <c r="Y94" s="62">
        <f t="shared" si="58"/>
        <v>108.9088</v>
      </c>
      <c r="Z94" s="66" t="s">
        <v>57</v>
      </c>
      <c r="AB94" s="59">
        <v>8</v>
      </c>
      <c r="AC94" s="63">
        <v>15</v>
      </c>
      <c r="AD94" s="32"/>
      <c r="AE94" s="14">
        <v>7.7</v>
      </c>
      <c r="AF94" s="14">
        <v>8</v>
      </c>
      <c r="AG94" s="14">
        <v>3.8</v>
      </c>
      <c r="AH94" s="62">
        <f t="shared" si="59"/>
        <v>121.7216</v>
      </c>
      <c r="AI94" s="66"/>
      <c r="AK94" s="59">
        <v>8</v>
      </c>
      <c r="AL94" s="63">
        <v>15</v>
      </c>
      <c r="AM94" s="32"/>
      <c r="AN94" s="14">
        <v>5</v>
      </c>
      <c r="AO94" s="14">
        <v>5</v>
      </c>
      <c r="AP94" s="14">
        <v>2</v>
      </c>
      <c r="AQ94" s="62">
        <f t="shared" si="60"/>
        <v>26</v>
      </c>
      <c r="AR94" s="66"/>
      <c r="AT94" s="59">
        <v>8</v>
      </c>
      <c r="AU94" s="63">
        <v>15</v>
      </c>
      <c r="AV94" s="32"/>
      <c r="AW94" s="14">
        <v>5</v>
      </c>
      <c r="AX94" s="14">
        <v>5</v>
      </c>
      <c r="AY94" s="14">
        <v>2</v>
      </c>
      <c r="AZ94" s="62">
        <f t="shared" si="61"/>
        <v>26</v>
      </c>
      <c r="BA94" s="66"/>
      <c r="BC94" s="59">
        <v>8</v>
      </c>
      <c r="BD94" s="63">
        <v>15</v>
      </c>
      <c r="BE94" s="32"/>
      <c r="BF94" s="14">
        <v>5</v>
      </c>
      <c r="BG94" s="14">
        <v>5</v>
      </c>
      <c r="BH94" s="14">
        <v>2</v>
      </c>
      <c r="BI94" s="62">
        <f t="shared" si="62"/>
        <v>26</v>
      </c>
      <c r="BJ94" s="66"/>
      <c r="BL94" s="59">
        <v>8</v>
      </c>
      <c r="BM94" s="63">
        <v>15</v>
      </c>
      <c r="BN94" s="32"/>
      <c r="BO94" s="14">
        <v>10</v>
      </c>
      <c r="BP94" s="14">
        <v>7</v>
      </c>
      <c r="BQ94" s="14">
        <v>5</v>
      </c>
      <c r="BR94" s="62">
        <f t="shared" si="63"/>
        <v>182</v>
      </c>
      <c r="BS94" s="66"/>
      <c r="BU94" s="59">
        <v>8</v>
      </c>
      <c r="BV94" s="63">
        <v>15</v>
      </c>
      <c r="BW94" s="32"/>
      <c r="BX94" s="14" t="s">
        <v>49</v>
      </c>
      <c r="BY94" s="14"/>
      <c r="BZ94" s="14"/>
      <c r="CA94" s="75">
        <v>0</v>
      </c>
      <c r="CB94" s="66"/>
      <c r="CD94" s="59">
        <v>8</v>
      </c>
      <c r="CE94" s="63">
        <v>15</v>
      </c>
      <c r="CF94" s="32"/>
      <c r="CG94" s="14" t="s">
        <v>49</v>
      </c>
      <c r="CH94" s="14"/>
      <c r="CI94" s="14"/>
      <c r="CJ94" s="75">
        <v>0</v>
      </c>
      <c r="CK94" s="66"/>
      <c r="CM94" s="59">
        <v>8</v>
      </c>
      <c r="CN94" s="63">
        <v>15</v>
      </c>
      <c r="CO94" s="32"/>
      <c r="CP94" s="14" t="s">
        <v>49</v>
      </c>
      <c r="CQ94" s="14"/>
      <c r="CR94" s="14"/>
      <c r="CS94" s="75">
        <v>0</v>
      </c>
      <c r="CT94" s="66"/>
      <c r="CV94" s="59">
        <v>8</v>
      </c>
      <c r="CW94" s="63">
        <v>15</v>
      </c>
      <c r="CX94" s="32"/>
      <c r="CY94" s="15" t="s">
        <v>49</v>
      </c>
      <c r="CZ94" s="15"/>
      <c r="DA94" s="15"/>
      <c r="DB94" s="75">
        <v>0</v>
      </c>
      <c r="DC94" s="66"/>
      <c r="DE94" s="59">
        <v>8</v>
      </c>
      <c r="DF94" s="63">
        <v>15</v>
      </c>
      <c r="DG94" s="32"/>
      <c r="DH94" s="15" t="s">
        <v>49</v>
      </c>
      <c r="DI94" s="15"/>
      <c r="DJ94" s="15"/>
      <c r="DK94" s="75">
        <v>0</v>
      </c>
      <c r="DL94" s="66"/>
      <c r="DN94" s="59">
        <v>8</v>
      </c>
      <c r="DO94" s="63">
        <v>15</v>
      </c>
      <c r="DP94" s="32"/>
      <c r="DQ94" s="15" t="s">
        <v>49</v>
      </c>
      <c r="DR94" s="15"/>
      <c r="DS94" s="15"/>
      <c r="DT94" s="75">
        <v>0</v>
      </c>
      <c r="DU94" s="66"/>
      <c r="DX94" s="88"/>
    </row>
    <row r="95" spans="1:128" x14ac:dyDescent="0.25">
      <c r="A95" s="59">
        <v>9</v>
      </c>
      <c r="B95" s="64">
        <v>16</v>
      </c>
      <c r="C95" s="32"/>
      <c r="D95" s="14">
        <v>5</v>
      </c>
      <c r="E95" s="14">
        <v>5</v>
      </c>
      <c r="F95" s="14">
        <v>4</v>
      </c>
      <c r="G95" s="62">
        <f>D95*E95*F95*0.52</f>
        <v>52</v>
      </c>
      <c r="H95" s="66"/>
      <c r="J95" s="59">
        <v>9</v>
      </c>
      <c r="K95" s="64">
        <v>16</v>
      </c>
      <c r="L95" s="32"/>
      <c r="M95" s="14">
        <v>6</v>
      </c>
      <c r="N95" s="14">
        <v>7</v>
      </c>
      <c r="O95" s="14">
        <v>3</v>
      </c>
      <c r="P95" s="62">
        <f>M95*N95*O95*0.52</f>
        <v>65.52</v>
      </c>
      <c r="Q95" s="66"/>
      <c r="S95" s="59">
        <v>9</v>
      </c>
      <c r="T95" s="64">
        <v>16</v>
      </c>
      <c r="U95" s="32"/>
      <c r="V95" s="14">
        <v>8</v>
      </c>
      <c r="W95" s="14">
        <v>8</v>
      </c>
      <c r="X95" s="14">
        <v>2</v>
      </c>
      <c r="Y95" s="62">
        <f>V95*W95*X95*0.52</f>
        <v>66.56</v>
      </c>
      <c r="Z95" s="66" t="s">
        <v>57</v>
      </c>
      <c r="AB95" s="59">
        <v>9</v>
      </c>
      <c r="AC95" s="64">
        <v>16</v>
      </c>
      <c r="AD95" s="32"/>
      <c r="AE95" s="14">
        <v>8</v>
      </c>
      <c r="AF95" s="14">
        <v>7</v>
      </c>
      <c r="AG95" s="14">
        <v>2</v>
      </c>
      <c r="AH95" s="62">
        <f>AE95*AF95*AG95*0.52</f>
        <v>58.24</v>
      </c>
      <c r="AI95" s="66"/>
      <c r="AK95" s="59">
        <v>9</v>
      </c>
      <c r="AL95" s="64">
        <v>16</v>
      </c>
      <c r="AM95" s="32"/>
      <c r="AN95" s="14">
        <v>6</v>
      </c>
      <c r="AO95" s="14">
        <v>6</v>
      </c>
      <c r="AP95" s="14">
        <v>3</v>
      </c>
      <c r="AQ95" s="62">
        <f>AN95*AO95*AP95*0.52</f>
        <v>56.160000000000004</v>
      </c>
      <c r="AR95" s="66"/>
      <c r="AT95" s="59">
        <v>9</v>
      </c>
      <c r="AU95" s="64">
        <v>16</v>
      </c>
      <c r="AV95" s="32"/>
      <c r="AW95" s="14">
        <v>7</v>
      </c>
      <c r="AX95" s="14">
        <v>7</v>
      </c>
      <c r="AY95" s="14">
        <v>3</v>
      </c>
      <c r="AZ95" s="62">
        <f>AW95*AX95*AY95*0.52</f>
        <v>76.44</v>
      </c>
      <c r="BA95" s="66"/>
      <c r="BC95" s="59">
        <v>9</v>
      </c>
      <c r="BD95" s="64">
        <v>16</v>
      </c>
      <c r="BE95" s="32"/>
      <c r="BF95" s="14">
        <v>5</v>
      </c>
      <c r="BG95" s="14">
        <v>5</v>
      </c>
      <c r="BH95" s="14">
        <v>4</v>
      </c>
      <c r="BI95" s="62">
        <f>BF95*BG95*BH95*0.52</f>
        <v>52</v>
      </c>
      <c r="BJ95" s="66"/>
      <c r="BL95" s="59">
        <v>9</v>
      </c>
      <c r="BM95" s="64">
        <v>16</v>
      </c>
      <c r="BN95" s="32"/>
      <c r="BO95" s="14">
        <v>8</v>
      </c>
      <c r="BP95" s="14">
        <v>8</v>
      </c>
      <c r="BQ95" s="14">
        <v>5</v>
      </c>
      <c r="BR95" s="62">
        <f>BO95*BP95*BQ95*0.52</f>
        <v>166.4</v>
      </c>
      <c r="BS95" s="66"/>
      <c r="BU95" s="59">
        <v>9</v>
      </c>
      <c r="BV95" s="64">
        <v>16</v>
      </c>
      <c r="BW95" s="32"/>
      <c r="BX95" s="14">
        <v>9</v>
      </c>
      <c r="BY95" s="14">
        <v>9.6999999999999993</v>
      </c>
      <c r="BZ95" s="14">
        <v>6.7</v>
      </c>
      <c r="CA95" s="62">
        <f>BX95*BY95*BZ95*0.52</f>
        <v>304.15319999999997</v>
      </c>
      <c r="CB95" s="66"/>
      <c r="CD95" s="59">
        <v>9</v>
      </c>
      <c r="CE95" s="64">
        <v>16</v>
      </c>
      <c r="CF95" s="32"/>
      <c r="CG95" s="14">
        <v>13.5</v>
      </c>
      <c r="CH95" s="14">
        <v>13</v>
      </c>
      <c r="CI95" s="14">
        <v>8</v>
      </c>
      <c r="CJ95" s="62">
        <f>CG95*CH95*CI95*0.52</f>
        <v>730.08</v>
      </c>
      <c r="CK95" s="66"/>
      <c r="CM95" s="59">
        <v>9</v>
      </c>
      <c r="CN95" s="64">
        <v>16</v>
      </c>
      <c r="CO95" s="32"/>
      <c r="CP95" s="14">
        <v>18.600000000000001</v>
      </c>
      <c r="CQ95" s="14">
        <v>19</v>
      </c>
      <c r="CR95" s="14">
        <v>11</v>
      </c>
      <c r="CS95" s="82">
        <f>CP95*CQ95*CR95*0.52</f>
        <v>2021.4480000000003</v>
      </c>
      <c r="CT95" s="66" t="s">
        <v>82</v>
      </c>
      <c r="CV95" s="59">
        <v>9</v>
      </c>
      <c r="CW95" s="64">
        <v>16</v>
      </c>
      <c r="CX95" s="32"/>
      <c r="CY95" s="85"/>
      <c r="CZ95" s="85"/>
      <c r="DA95" s="85"/>
      <c r="DB95" s="82"/>
      <c r="DC95" s="66" t="s">
        <v>82</v>
      </c>
      <c r="DE95" s="59">
        <v>9</v>
      </c>
      <c r="DF95" s="64">
        <v>16</v>
      </c>
      <c r="DG95" s="32"/>
      <c r="DH95" s="85"/>
      <c r="DI95" s="85"/>
      <c r="DJ95" s="85"/>
      <c r="DK95" s="82"/>
      <c r="DL95" s="66" t="s">
        <v>82</v>
      </c>
      <c r="DN95" s="59">
        <v>9</v>
      </c>
      <c r="DO95" s="64">
        <v>16</v>
      </c>
      <c r="DP95" s="32"/>
      <c r="DQ95" s="85"/>
      <c r="DR95" s="85"/>
      <c r="DS95" s="85"/>
      <c r="DT95" s="82"/>
      <c r="DU95" s="66" t="s">
        <v>82</v>
      </c>
      <c r="DX95" s="88"/>
    </row>
    <row r="96" spans="1:128" x14ac:dyDescent="0.25">
      <c r="A96" s="59">
        <v>10</v>
      </c>
      <c r="B96" s="64" t="s">
        <v>8</v>
      </c>
      <c r="C96" s="32"/>
      <c r="D96" s="14">
        <v>7</v>
      </c>
      <c r="E96" s="14">
        <v>3</v>
      </c>
      <c r="F96" s="14">
        <v>3</v>
      </c>
      <c r="G96" s="62">
        <f>D96*E96*F96*0.52</f>
        <v>32.76</v>
      </c>
      <c r="H96" s="66"/>
      <c r="J96" s="59">
        <v>10</v>
      </c>
      <c r="K96" s="64" t="s">
        <v>8</v>
      </c>
      <c r="L96" s="32"/>
      <c r="M96" s="14">
        <v>3</v>
      </c>
      <c r="N96" s="14">
        <v>3</v>
      </c>
      <c r="O96" s="14">
        <v>2</v>
      </c>
      <c r="P96" s="62">
        <f>M96*N96*O96*0.52</f>
        <v>9.36</v>
      </c>
      <c r="Q96" s="66"/>
      <c r="S96" s="59">
        <v>10</v>
      </c>
      <c r="T96" s="64" t="s">
        <v>8</v>
      </c>
      <c r="U96" s="32"/>
      <c r="V96" s="14">
        <v>5</v>
      </c>
      <c r="W96" s="14">
        <v>5</v>
      </c>
      <c r="X96" s="14">
        <v>3</v>
      </c>
      <c r="Y96" s="62">
        <f>V96*W96*X96*0.52</f>
        <v>39</v>
      </c>
      <c r="Z96" s="66" t="s">
        <v>57</v>
      </c>
      <c r="AB96" s="59">
        <v>10</v>
      </c>
      <c r="AC96" s="64" t="s">
        <v>8</v>
      </c>
      <c r="AD96" s="32"/>
      <c r="AE96" s="14">
        <v>5</v>
      </c>
      <c r="AF96" s="14">
        <v>5</v>
      </c>
      <c r="AG96" s="14">
        <v>2</v>
      </c>
      <c r="AH96" s="62">
        <f>AE96*AF96*AG96*0.52</f>
        <v>26</v>
      </c>
      <c r="AI96" s="66"/>
      <c r="AK96" s="59">
        <v>10</v>
      </c>
      <c r="AL96" s="64" t="s">
        <v>8</v>
      </c>
      <c r="AM96" s="32"/>
      <c r="AN96" s="14">
        <v>11.5</v>
      </c>
      <c r="AO96" s="14">
        <v>7</v>
      </c>
      <c r="AP96" s="14">
        <v>4</v>
      </c>
      <c r="AQ96" s="62">
        <f>AN96*AO96*AP96*0.52</f>
        <v>167.44</v>
      </c>
      <c r="AR96" s="66"/>
      <c r="AT96" s="59">
        <v>10</v>
      </c>
      <c r="AU96" s="64" t="s">
        <v>8</v>
      </c>
      <c r="AV96" s="32"/>
      <c r="AW96" s="14">
        <v>3</v>
      </c>
      <c r="AX96" s="14">
        <v>3</v>
      </c>
      <c r="AY96" s="14">
        <v>3</v>
      </c>
      <c r="AZ96" s="62">
        <f>AW96*AX96*AY96*0.52</f>
        <v>14.040000000000001</v>
      </c>
      <c r="BA96" s="66"/>
      <c r="BC96" s="59">
        <v>10</v>
      </c>
      <c r="BD96" s="64" t="s">
        <v>8</v>
      </c>
      <c r="BE96" s="32"/>
      <c r="BF96" s="14">
        <v>10</v>
      </c>
      <c r="BG96" s="14">
        <v>10</v>
      </c>
      <c r="BH96" s="14">
        <v>6</v>
      </c>
      <c r="BI96" s="62">
        <f>BF96*BG96*BH96*0.52</f>
        <v>312</v>
      </c>
      <c r="BJ96" s="66"/>
      <c r="BL96" s="59">
        <v>10</v>
      </c>
      <c r="BM96" s="64" t="s">
        <v>8</v>
      </c>
      <c r="BN96" s="32"/>
      <c r="BO96" s="14">
        <v>12</v>
      </c>
      <c r="BP96" s="14">
        <v>14</v>
      </c>
      <c r="BQ96" s="14">
        <v>9</v>
      </c>
      <c r="BR96" s="62">
        <f>BO96*BP96*BQ96*0.52</f>
        <v>786.24</v>
      </c>
      <c r="BS96" s="66"/>
      <c r="BU96" s="59">
        <v>10</v>
      </c>
      <c r="BV96" s="64" t="s">
        <v>8</v>
      </c>
      <c r="BW96" s="32"/>
      <c r="BX96" s="14">
        <v>18</v>
      </c>
      <c r="BY96" s="14">
        <v>13</v>
      </c>
      <c r="BZ96" s="14">
        <v>8</v>
      </c>
      <c r="CA96" s="62">
        <f>BX96*BY96*BZ96*0.52</f>
        <v>973.44</v>
      </c>
      <c r="CB96" s="66"/>
      <c r="CD96" s="59">
        <v>10</v>
      </c>
      <c r="CE96" s="64" t="s">
        <v>8</v>
      </c>
      <c r="CF96" s="32"/>
      <c r="CG96" s="14">
        <v>18</v>
      </c>
      <c r="CH96" s="14">
        <v>14.4</v>
      </c>
      <c r="CI96" s="14">
        <v>9.6</v>
      </c>
      <c r="CJ96" s="62">
        <f>CG96*CH96*CI96*0.52</f>
        <v>1293.9263999999998</v>
      </c>
      <c r="CK96" s="66"/>
      <c r="CM96" s="59">
        <v>10</v>
      </c>
      <c r="CN96" s="64" t="s">
        <v>8</v>
      </c>
      <c r="CO96" s="32"/>
      <c r="CP96" s="14">
        <v>20</v>
      </c>
      <c r="CQ96" s="14">
        <v>15</v>
      </c>
      <c r="CR96" s="14">
        <v>10</v>
      </c>
      <c r="CS96" s="62">
        <f>CP96*CQ96*CR96*0.52</f>
        <v>1560</v>
      </c>
      <c r="CT96" s="66"/>
      <c r="CV96" s="59">
        <v>10</v>
      </c>
      <c r="CW96" s="64" t="s">
        <v>8</v>
      </c>
      <c r="CX96" s="32"/>
      <c r="CY96" s="14">
        <v>24.8</v>
      </c>
      <c r="CZ96" s="14">
        <v>22.7</v>
      </c>
      <c r="DA96" s="14">
        <v>15.3</v>
      </c>
      <c r="DB96" s="76">
        <f>CY96*CZ96*DA96*0.52</f>
        <v>4478.9097600000005</v>
      </c>
      <c r="DC96" s="66" t="s">
        <v>85</v>
      </c>
      <c r="DE96" s="59">
        <v>10</v>
      </c>
      <c r="DF96" s="64" t="s">
        <v>8</v>
      </c>
      <c r="DG96" s="32"/>
      <c r="DH96" s="76"/>
      <c r="DI96" s="76"/>
      <c r="DJ96" s="76"/>
      <c r="DK96" s="76"/>
      <c r="DL96" s="66" t="s">
        <v>85</v>
      </c>
      <c r="DN96" s="59">
        <v>10</v>
      </c>
      <c r="DO96" s="64" t="s">
        <v>8</v>
      </c>
      <c r="DP96" s="32"/>
      <c r="DQ96" s="76"/>
      <c r="DR96" s="76"/>
      <c r="DS96" s="76"/>
      <c r="DT96" s="76"/>
      <c r="DU96" s="66" t="s">
        <v>85</v>
      </c>
      <c r="DX96" s="88"/>
    </row>
    <row r="97" spans="1:128" x14ac:dyDescent="0.25">
      <c r="A97" s="20" t="s">
        <v>9</v>
      </c>
      <c r="B97" s="20"/>
      <c r="C97" s="21"/>
      <c r="D97" s="22"/>
      <c r="E97" s="22"/>
      <c r="F97" s="22"/>
      <c r="G97" s="21">
        <f>AVERAGE(G87:G95)</f>
        <v>39.982222222222227</v>
      </c>
      <c r="H97" s="21"/>
      <c r="J97" s="20" t="s">
        <v>9</v>
      </c>
      <c r="K97" s="20"/>
      <c r="L97" s="21"/>
      <c r="M97" s="22"/>
      <c r="N97" s="22"/>
      <c r="O97" s="22"/>
      <c r="P97" s="21">
        <f>AVERAGE(P87:P95)</f>
        <v>41.576888888888888</v>
      </c>
      <c r="Q97" s="21"/>
      <c r="S97" s="20" t="s">
        <v>9</v>
      </c>
      <c r="T97" s="20"/>
      <c r="U97" s="21"/>
      <c r="V97" s="22"/>
      <c r="W97" s="22"/>
      <c r="X97" s="22"/>
      <c r="Y97" s="21">
        <f>AVERAGE(Y87:Y95)</f>
        <v>65.217706666666672</v>
      </c>
      <c r="Z97" s="21"/>
      <c r="AB97" s="20" t="s">
        <v>9</v>
      </c>
      <c r="AC97" s="20"/>
      <c r="AD97" s="21"/>
      <c r="AE97" s="22"/>
      <c r="AF97" s="22"/>
      <c r="AG97" s="22"/>
      <c r="AH97" s="21">
        <f>AVERAGE(AH87:AH95)</f>
        <v>68.88821333333334</v>
      </c>
      <c r="AI97" s="21"/>
      <c r="AK97" s="20" t="s">
        <v>9</v>
      </c>
      <c r="AL97" s="20"/>
      <c r="AM97" s="21"/>
      <c r="AN97" s="22"/>
      <c r="AO97" s="22"/>
      <c r="AP97" s="22"/>
      <c r="AQ97" s="21">
        <f>AVERAGE(AQ87:AQ95)</f>
        <v>50.799146666666672</v>
      </c>
      <c r="AR97" s="21"/>
      <c r="AT97" s="20" t="s">
        <v>9</v>
      </c>
      <c r="AU97" s="20"/>
      <c r="AV97" s="21"/>
      <c r="AW97" s="22"/>
      <c r="AX97" s="22"/>
      <c r="AY97" s="22"/>
      <c r="AZ97" s="21">
        <f>AVERAGE(AZ87:AZ95)</f>
        <v>55.663111111111114</v>
      </c>
      <c r="BA97" s="21"/>
      <c r="BC97" s="20" t="s">
        <v>9</v>
      </c>
      <c r="BD97" s="20"/>
      <c r="BE97" s="21"/>
      <c r="BF97" s="22"/>
      <c r="BG97" s="22"/>
      <c r="BH97" s="22"/>
      <c r="BI97" s="21">
        <f>AVERAGE(BI87:BI95)</f>
        <v>76.699942222222234</v>
      </c>
      <c r="BJ97" s="21"/>
      <c r="BL97" s="20" t="s">
        <v>9</v>
      </c>
      <c r="BM97" s="20"/>
      <c r="BN97" s="21"/>
      <c r="BO97" s="22"/>
      <c r="BP97" s="22"/>
      <c r="BQ97" s="22"/>
      <c r="BR97" s="21">
        <f>AVERAGE(BR87:BR95)</f>
        <v>155.82666666666668</v>
      </c>
      <c r="BS97" s="21"/>
      <c r="BU97" s="20" t="s">
        <v>9</v>
      </c>
      <c r="BV97" s="20"/>
      <c r="BW97" s="21"/>
      <c r="BX97" s="22"/>
      <c r="BY97" s="22"/>
      <c r="BZ97" s="22"/>
      <c r="CA97" s="21">
        <f>AVERAGE(CA87:CA95)</f>
        <v>196.98050666666666</v>
      </c>
      <c r="CB97" s="21"/>
      <c r="CD97" s="20" t="s">
        <v>9</v>
      </c>
      <c r="CE97" s="20"/>
      <c r="CF97" s="21"/>
      <c r="CG97" s="22"/>
      <c r="CH97" s="22"/>
      <c r="CI97" s="22"/>
      <c r="CJ97" s="21">
        <f>AVERAGE(CJ87:CJ95)</f>
        <v>563.70888888888885</v>
      </c>
      <c r="CK97" s="21"/>
      <c r="CM97" s="20" t="s">
        <v>9</v>
      </c>
      <c r="CN97" s="20"/>
      <c r="CO97" s="21"/>
      <c r="CP97" s="22"/>
      <c r="CQ97" s="22"/>
      <c r="CR97" s="22"/>
      <c r="CS97" s="21">
        <f>AVERAGE(CS87:CS95)</f>
        <v>1282.7244444444445</v>
      </c>
      <c r="CT97" s="21"/>
      <c r="CV97" s="20" t="s">
        <v>9</v>
      </c>
      <c r="CW97" s="20"/>
      <c r="CX97" s="21"/>
      <c r="CY97" s="22"/>
      <c r="CZ97" s="22"/>
      <c r="DA97" s="22"/>
      <c r="DB97" s="21">
        <f>AVERAGE(DB87:DB95)</f>
        <v>704.17568000000017</v>
      </c>
      <c r="DC97" s="21"/>
      <c r="DE97" s="20" t="s">
        <v>9</v>
      </c>
      <c r="DF97" s="20"/>
      <c r="DG97" s="21"/>
      <c r="DH97" s="22"/>
      <c r="DI97" s="22"/>
      <c r="DJ97" s="22"/>
      <c r="DK97" s="21">
        <f>AVERAGE(DK87:DK95)</f>
        <v>483.17318399999994</v>
      </c>
      <c r="DL97" s="21"/>
      <c r="DN97" s="20" t="s">
        <v>9</v>
      </c>
      <c r="DO97" s="20"/>
      <c r="DP97" s="21"/>
      <c r="DQ97" s="22"/>
      <c r="DR97" s="22"/>
      <c r="DS97" s="22"/>
      <c r="DT97" s="21">
        <f>AVERAGE(DT87:DT95)</f>
        <v>0</v>
      </c>
      <c r="DU97" s="21"/>
    </row>
    <row r="98" spans="1:128" x14ac:dyDescent="0.25">
      <c r="A98" s="20" t="s">
        <v>10</v>
      </c>
      <c r="B98" s="20"/>
      <c r="C98" s="23"/>
      <c r="D98" s="22"/>
      <c r="E98" s="22"/>
      <c r="F98" s="22"/>
      <c r="G98" s="21">
        <f>AVEDEV(G87:G95)</f>
        <v>10.322962962962967</v>
      </c>
      <c r="H98" s="21"/>
      <c r="J98" s="20" t="s">
        <v>10</v>
      </c>
      <c r="K98" s="20"/>
      <c r="L98" s="23"/>
      <c r="M98" s="22"/>
      <c r="N98" s="22"/>
      <c r="O98" s="22"/>
      <c r="P98" s="21">
        <f>AVEDEV(P87:P95)</f>
        <v>21.819456790123457</v>
      </c>
      <c r="Q98" s="21"/>
      <c r="S98" s="20" t="s">
        <v>10</v>
      </c>
      <c r="T98" s="20"/>
      <c r="U98" s="23"/>
      <c r="V98" s="22"/>
      <c r="W98" s="22"/>
      <c r="X98" s="22"/>
      <c r="Y98" s="21">
        <f>AVEDEV(Y87:Y95)</f>
        <v>31.416628148148149</v>
      </c>
      <c r="Z98" s="21"/>
      <c r="AB98" s="20" t="s">
        <v>10</v>
      </c>
      <c r="AC98" s="20"/>
      <c r="AD98" s="23"/>
      <c r="AE98" s="22"/>
      <c r="AF98" s="22"/>
      <c r="AG98" s="22"/>
      <c r="AH98" s="21">
        <f>AVEDEV(AH87:AH95)</f>
        <v>28.185078518518516</v>
      </c>
      <c r="AI98" s="21"/>
      <c r="AK98" s="20" t="s">
        <v>10</v>
      </c>
      <c r="AL98" s="20"/>
      <c r="AM98" s="23"/>
      <c r="AN98" s="22"/>
      <c r="AO98" s="22"/>
      <c r="AP98" s="22"/>
      <c r="AQ98" s="21">
        <f>AVEDEV(AQ87:AQ95)</f>
        <v>25.590162962962964</v>
      </c>
      <c r="AR98" s="21"/>
      <c r="AT98" s="20" t="s">
        <v>10</v>
      </c>
      <c r="AU98" s="20"/>
      <c r="AV98" s="23"/>
      <c r="AW98" s="22"/>
      <c r="AX98" s="22"/>
      <c r="AY98" s="22"/>
      <c r="AZ98" s="21">
        <f>AVEDEV(AZ87:AZ95)</f>
        <v>20.936098765432103</v>
      </c>
      <c r="BA98" s="21"/>
      <c r="BC98" s="20" t="s">
        <v>10</v>
      </c>
      <c r="BD98" s="20"/>
      <c r="BE98" s="23"/>
      <c r="BF98" s="22"/>
      <c r="BG98" s="22"/>
      <c r="BH98" s="22"/>
      <c r="BI98" s="21">
        <f>AVEDEV(BI87:BI95)</f>
        <v>51.364380246913598</v>
      </c>
      <c r="BJ98" s="21"/>
      <c r="BL98" s="20" t="s">
        <v>10</v>
      </c>
      <c r="BM98" s="20"/>
      <c r="BN98" s="23"/>
      <c r="BO98" s="22"/>
      <c r="BP98" s="22"/>
      <c r="BQ98" s="22"/>
      <c r="BR98" s="21">
        <f>AVEDEV(BR87:BR95)</f>
        <v>143.78962962962962</v>
      </c>
      <c r="BS98" s="21"/>
      <c r="BU98" s="20" t="s">
        <v>10</v>
      </c>
      <c r="BV98" s="20"/>
      <c r="BW98" s="23"/>
      <c r="BX98" s="22"/>
      <c r="BY98" s="22"/>
      <c r="BZ98" s="22"/>
      <c r="CA98" s="21">
        <f>AVEDEV(CA87:CA95)</f>
        <v>201.93602962962964</v>
      </c>
      <c r="CB98" s="21"/>
      <c r="CD98" s="20" t="s">
        <v>10</v>
      </c>
      <c r="CE98" s="20"/>
      <c r="CF98" s="23"/>
      <c r="CG98" s="22"/>
      <c r="CH98" s="22"/>
      <c r="CI98" s="22"/>
      <c r="CJ98" s="21">
        <f>AVEDEV(CJ87:CJ95)</f>
        <v>568.56543209876554</v>
      </c>
      <c r="CK98" s="21"/>
      <c r="CM98" s="20" t="s">
        <v>10</v>
      </c>
      <c r="CN98" s="20"/>
      <c r="CO98" s="23"/>
      <c r="CP98" s="22"/>
      <c r="CQ98" s="22"/>
      <c r="CR98" s="22"/>
      <c r="CS98" s="21">
        <f>AVEDEV(CS87:CS95)</f>
        <v>1336.8699259259258</v>
      </c>
      <c r="CT98" s="21"/>
      <c r="CV98" s="20" t="s">
        <v>10</v>
      </c>
      <c r="CW98" s="20"/>
      <c r="CX98" s="23"/>
      <c r="CY98" s="22"/>
      <c r="CZ98" s="22"/>
      <c r="DA98" s="22"/>
      <c r="DB98" s="21">
        <f>AVEDEV(DB87:DB95)</f>
        <v>938.90090666666674</v>
      </c>
      <c r="DC98" s="21"/>
      <c r="DE98" s="20" t="s">
        <v>10</v>
      </c>
      <c r="DF98" s="20"/>
      <c r="DG98" s="23"/>
      <c r="DH98" s="22"/>
      <c r="DI98" s="22"/>
      <c r="DJ98" s="22"/>
      <c r="DK98" s="21">
        <f>AVEDEV(DK87:DK95)</f>
        <v>773.07709439999985</v>
      </c>
      <c r="DL98" s="21"/>
      <c r="DN98" s="20" t="s">
        <v>10</v>
      </c>
      <c r="DO98" s="20"/>
      <c r="DP98" s="23"/>
      <c r="DQ98" s="22"/>
      <c r="DR98" s="22"/>
      <c r="DS98" s="22"/>
      <c r="DT98" s="21">
        <f>AVEDEV(DT87:DT95)</f>
        <v>0</v>
      </c>
      <c r="DU98" s="21"/>
    </row>
    <row r="101" spans="1:128" x14ac:dyDescent="0.25">
      <c r="A101" s="4" t="s">
        <v>19</v>
      </c>
      <c r="B101" s="4"/>
      <c r="G101" s="5" t="s">
        <v>17</v>
      </c>
      <c r="J101" s="4" t="s">
        <v>19</v>
      </c>
      <c r="K101" s="4"/>
      <c r="P101" s="5" t="s">
        <v>48</v>
      </c>
      <c r="S101" s="4" t="s">
        <v>19</v>
      </c>
      <c r="T101" s="4"/>
      <c r="Y101" s="5" t="s">
        <v>48</v>
      </c>
      <c r="AB101" s="4" t="s">
        <v>19</v>
      </c>
      <c r="AC101" s="4"/>
      <c r="AH101" s="5"/>
      <c r="AK101" s="4" t="s">
        <v>19</v>
      </c>
      <c r="AL101" s="4"/>
      <c r="AQ101" s="5"/>
      <c r="AT101" s="4" t="s">
        <v>19</v>
      </c>
      <c r="AU101" s="4"/>
      <c r="AZ101" s="5"/>
      <c r="BC101" s="4" t="s">
        <v>19</v>
      </c>
      <c r="BD101" s="4"/>
      <c r="BL101" s="4" t="s">
        <v>19</v>
      </c>
      <c r="BM101" s="4"/>
      <c r="BR101" s="5"/>
      <c r="BU101" s="4" t="s">
        <v>19</v>
      </c>
      <c r="BV101" s="4"/>
      <c r="CA101" s="5"/>
      <c r="CD101" s="4" t="s">
        <v>19</v>
      </c>
      <c r="CE101" s="4"/>
      <c r="CJ101" s="5"/>
      <c r="CM101" s="4" t="s">
        <v>19</v>
      </c>
      <c r="CN101" s="4"/>
      <c r="CS101" s="5"/>
      <c r="CV101" s="4" t="s">
        <v>19</v>
      </c>
      <c r="CW101" s="4"/>
      <c r="DB101" s="5"/>
      <c r="DE101" s="4" t="s">
        <v>19</v>
      </c>
      <c r="DF101" s="4"/>
      <c r="DK101" s="5"/>
      <c r="DN101" s="4" t="s">
        <v>19</v>
      </c>
      <c r="DO101" s="4"/>
      <c r="DT101" s="5"/>
    </row>
    <row r="102" spans="1:128" x14ac:dyDescent="0.25">
      <c r="A102" s="6"/>
      <c r="B102" s="6"/>
      <c r="G102" s="7" t="s">
        <v>23</v>
      </c>
      <c r="J102" s="6"/>
      <c r="K102" s="6"/>
      <c r="P102" s="7" t="s">
        <v>43</v>
      </c>
      <c r="S102" s="6"/>
      <c r="T102" s="6"/>
      <c r="Y102" s="7" t="s">
        <v>50</v>
      </c>
      <c r="AB102" s="6"/>
      <c r="AC102" s="6"/>
      <c r="AH102" s="7" t="s">
        <v>58</v>
      </c>
      <c r="AK102" s="6"/>
      <c r="AL102" s="6"/>
      <c r="AQ102" s="7" t="s">
        <v>63</v>
      </c>
      <c r="AT102" s="6"/>
      <c r="AU102" s="6"/>
      <c r="AZ102" s="7" t="s">
        <v>66</v>
      </c>
      <c r="BC102" s="6"/>
      <c r="BD102" s="6"/>
      <c r="BI102" s="7" t="s">
        <v>69</v>
      </c>
      <c r="BL102" s="6"/>
      <c r="BM102" s="6"/>
      <c r="BR102" s="7" t="s">
        <v>71</v>
      </c>
      <c r="BU102" s="6"/>
      <c r="BV102" s="6"/>
      <c r="CA102" s="7" t="s">
        <v>75</v>
      </c>
      <c r="CD102" s="6"/>
      <c r="CE102" s="6"/>
      <c r="CJ102" s="7" t="s">
        <v>77</v>
      </c>
      <c r="CM102" s="6"/>
      <c r="CN102" s="6"/>
      <c r="CS102" s="7" t="s">
        <v>81</v>
      </c>
      <c r="CV102" s="6"/>
      <c r="CW102" s="6"/>
      <c r="DB102" s="7" t="s">
        <v>84</v>
      </c>
      <c r="DE102" s="6"/>
      <c r="DF102" s="6"/>
      <c r="DK102" s="7" t="s">
        <v>86</v>
      </c>
      <c r="DN102" s="6"/>
      <c r="DO102" s="6"/>
      <c r="DT102" s="7" t="s">
        <v>88</v>
      </c>
    </row>
    <row r="103" spans="1:128" x14ac:dyDescent="0.25">
      <c r="A103" s="4" t="s">
        <v>29</v>
      </c>
      <c r="B103" s="4"/>
      <c r="J103" s="4" t="s">
        <v>29</v>
      </c>
      <c r="K103" s="4"/>
      <c r="S103" s="4" t="s">
        <v>29</v>
      </c>
      <c r="T103" s="4"/>
      <c r="AB103" s="4" t="s">
        <v>29</v>
      </c>
      <c r="AC103" s="4"/>
      <c r="AK103" s="4" t="s">
        <v>29</v>
      </c>
      <c r="AL103" s="4"/>
      <c r="AT103" s="4" t="s">
        <v>29</v>
      </c>
      <c r="AU103" s="4"/>
      <c r="BC103" s="4" t="s">
        <v>29</v>
      </c>
      <c r="BD103" s="4"/>
      <c r="BL103" s="4" t="s">
        <v>29</v>
      </c>
      <c r="BM103" s="4"/>
      <c r="BU103" s="4" t="s">
        <v>29</v>
      </c>
      <c r="BV103" s="4"/>
      <c r="CD103" s="4" t="s">
        <v>29</v>
      </c>
      <c r="CE103" s="4"/>
      <c r="CM103" s="4" t="s">
        <v>29</v>
      </c>
      <c r="CN103" s="4"/>
      <c r="CV103" s="4" t="s">
        <v>29</v>
      </c>
      <c r="CW103" s="4"/>
      <c r="DE103" s="4" t="s">
        <v>29</v>
      </c>
      <c r="DF103" s="4"/>
      <c r="DN103" s="4" t="s">
        <v>29</v>
      </c>
      <c r="DO103" s="4"/>
    </row>
    <row r="104" spans="1:128" x14ac:dyDescent="0.25">
      <c r="A104" s="6"/>
      <c r="B104" s="6"/>
      <c r="C104" s="9">
        <v>45810</v>
      </c>
      <c r="J104" s="6"/>
      <c r="K104" s="6"/>
      <c r="L104" s="9">
        <v>45813</v>
      </c>
      <c r="S104" s="6"/>
      <c r="T104" s="6"/>
      <c r="U104" s="9">
        <v>45816</v>
      </c>
      <c r="AB104" s="6"/>
      <c r="AC104" s="6"/>
      <c r="AD104" s="9">
        <v>45819</v>
      </c>
      <c r="AE104" s="9"/>
      <c r="AF104" s="9"/>
      <c r="AG104" s="9"/>
      <c r="AK104" s="6"/>
      <c r="AL104" s="6"/>
      <c r="AM104" s="9">
        <v>45822</v>
      </c>
      <c r="AT104" s="6"/>
      <c r="AU104" s="6"/>
      <c r="AV104" s="9">
        <v>45825</v>
      </c>
      <c r="BC104" s="6"/>
      <c r="BD104" s="6"/>
      <c r="BE104" s="9">
        <v>45828</v>
      </c>
      <c r="BF104" s="9"/>
      <c r="BG104" s="9"/>
      <c r="BH104" s="9"/>
      <c r="BL104" s="6"/>
      <c r="BM104" s="6"/>
      <c r="BN104" s="9">
        <v>45832</v>
      </c>
      <c r="BO104" s="9"/>
      <c r="BP104" s="9"/>
      <c r="BQ104" s="9"/>
      <c r="BU104" s="6"/>
      <c r="BV104" s="6"/>
      <c r="BW104" s="9">
        <v>45836</v>
      </c>
      <c r="CD104" s="6"/>
      <c r="CE104" s="6"/>
      <c r="CF104" s="9">
        <v>45839</v>
      </c>
      <c r="CM104" s="6"/>
      <c r="CN104" s="6"/>
      <c r="CO104" s="9">
        <v>45844</v>
      </c>
      <c r="CV104" s="6"/>
      <c r="CW104" s="6"/>
      <c r="CX104" s="9">
        <v>45849</v>
      </c>
      <c r="DE104" s="6"/>
      <c r="DF104" s="6"/>
      <c r="DG104" s="9">
        <v>45855</v>
      </c>
      <c r="DN104" s="6"/>
      <c r="DO104" s="6"/>
      <c r="DP104" s="9">
        <v>45859</v>
      </c>
    </row>
    <row r="105" spans="1:128" x14ac:dyDescent="0.25">
      <c r="A105" s="10"/>
      <c r="B105" s="10"/>
      <c r="C105" s="11"/>
      <c r="D105" s="11" t="s">
        <v>3</v>
      </c>
      <c r="E105" s="11" t="s">
        <v>4</v>
      </c>
      <c r="F105" s="11" t="s">
        <v>5</v>
      </c>
      <c r="G105" s="12" t="s">
        <v>6</v>
      </c>
      <c r="H105" s="13" t="s">
        <v>7</v>
      </c>
      <c r="J105" s="10"/>
      <c r="K105" s="10"/>
      <c r="L105" s="11"/>
      <c r="M105" s="11" t="s">
        <v>3</v>
      </c>
      <c r="N105" s="11" t="s">
        <v>4</v>
      </c>
      <c r="O105" s="11" t="s">
        <v>5</v>
      </c>
      <c r="P105" s="12" t="s">
        <v>6</v>
      </c>
      <c r="Q105" s="13" t="s">
        <v>7</v>
      </c>
      <c r="S105" s="10"/>
      <c r="T105" s="10"/>
      <c r="U105" s="11"/>
      <c r="V105" s="11" t="s">
        <v>3</v>
      </c>
      <c r="W105" s="11" t="s">
        <v>4</v>
      </c>
      <c r="X105" s="11" t="s">
        <v>5</v>
      </c>
      <c r="Y105" s="12" t="s">
        <v>6</v>
      </c>
      <c r="Z105" s="13" t="s">
        <v>7</v>
      </c>
      <c r="AB105" s="10"/>
      <c r="AC105" s="10"/>
      <c r="AD105" s="11"/>
      <c r="AE105" s="11" t="s">
        <v>3</v>
      </c>
      <c r="AF105" s="11" t="s">
        <v>4</v>
      </c>
      <c r="AG105" s="11" t="s">
        <v>5</v>
      </c>
      <c r="AH105" s="12" t="s">
        <v>6</v>
      </c>
      <c r="AI105" s="13" t="s">
        <v>7</v>
      </c>
      <c r="AK105" s="10"/>
      <c r="AL105" s="10"/>
      <c r="AM105" s="11"/>
      <c r="AN105" s="11" t="s">
        <v>3</v>
      </c>
      <c r="AO105" s="11" t="s">
        <v>4</v>
      </c>
      <c r="AP105" s="11" t="s">
        <v>5</v>
      </c>
      <c r="AQ105" s="12" t="s">
        <v>6</v>
      </c>
      <c r="AR105" s="13" t="s">
        <v>7</v>
      </c>
      <c r="AT105" s="10"/>
      <c r="AU105" s="10"/>
      <c r="AV105" s="11"/>
      <c r="AW105" s="11" t="s">
        <v>3</v>
      </c>
      <c r="AX105" s="11" t="s">
        <v>4</v>
      </c>
      <c r="AY105" s="11" t="s">
        <v>5</v>
      </c>
      <c r="AZ105" s="12" t="s">
        <v>6</v>
      </c>
      <c r="BA105" s="13" t="s">
        <v>7</v>
      </c>
      <c r="BC105" s="10"/>
      <c r="BD105" s="10"/>
      <c r="BE105" s="11"/>
      <c r="BF105" s="11" t="s">
        <v>3</v>
      </c>
      <c r="BG105" s="11" t="s">
        <v>4</v>
      </c>
      <c r="BH105" s="11" t="s">
        <v>5</v>
      </c>
      <c r="BI105" s="12" t="s">
        <v>6</v>
      </c>
      <c r="BJ105" s="13" t="s">
        <v>7</v>
      </c>
      <c r="BL105" s="10"/>
      <c r="BM105" s="10"/>
      <c r="BN105" s="11"/>
      <c r="BO105" s="11" t="s">
        <v>3</v>
      </c>
      <c r="BP105" s="11" t="s">
        <v>4</v>
      </c>
      <c r="BQ105" s="11" t="s">
        <v>5</v>
      </c>
      <c r="BR105" s="12" t="s">
        <v>6</v>
      </c>
      <c r="BS105" s="13"/>
      <c r="BU105" s="10"/>
      <c r="BV105" s="10"/>
      <c r="BW105" s="11"/>
      <c r="BX105" s="11" t="s">
        <v>3</v>
      </c>
      <c r="BY105" s="11" t="s">
        <v>4</v>
      </c>
      <c r="BZ105" s="11" t="s">
        <v>5</v>
      </c>
      <c r="CA105" s="12" t="s">
        <v>6</v>
      </c>
      <c r="CB105" s="13"/>
      <c r="CD105" s="10"/>
      <c r="CE105" s="10"/>
      <c r="CF105" s="11"/>
      <c r="CG105" s="11" t="s">
        <v>3</v>
      </c>
      <c r="CH105" s="11" t="s">
        <v>4</v>
      </c>
      <c r="CI105" s="11" t="s">
        <v>5</v>
      </c>
      <c r="CJ105" s="12" t="s">
        <v>6</v>
      </c>
      <c r="CK105" s="13"/>
      <c r="CM105" s="10"/>
      <c r="CN105" s="10"/>
      <c r="CO105" s="11"/>
      <c r="CP105" s="11" t="s">
        <v>3</v>
      </c>
      <c r="CQ105" s="11" t="s">
        <v>4</v>
      </c>
      <c r="CR105" s="11" t="s">
        <v>5</v>
      </c>
      <c r="CS105" s="12" t="s">
        <v>6</v>
      </c>
      <c r="CT105" s="13"/>
      <c r="CV105" s="10"/>
      <c r="CW105" s="10"/>
      <c r="CX105" s="11"/>
      <c r="CY105" s="11" t="s">
        <v>3</v>
      </c>
      <c r="CZ105" s="11" t="s">
        <v>4</v>
      </c>
      <c r="DA105" s="11" t="s">
        <v>5</v>
      </c>
      <c r="DB105" s="12" t="s">
        <v>6</v>
      </c>
      <c r="DC105" s="13"/>
      <c r="DE105" s="10"/>
      <c r="DF105" s="10"/>
      <c r="DG105" s="11"/>
      <c r="DH105" s="11" t="s">
        <v>3</v>
      </c>
      <c r="DI105" s="11" t="s">
        <v>4</v>
      </c>
      <c r="DJ105" s="11" t="s">
        <v>5</v>
      </c>
      <c r="DK105" s="12" t="s">
        <v>6</v>
      </c>
      <c r="DL105" s="13"/>
      <c r="DN105" s="10"/>
      <c r="DO105" s="10"/>
      <c r="DP105" s="11"/>
      <c r="DQ105" s="11" t="s">
        <v>3</v>
      </c>
      <c r="DR105" s="11" t="s">
        <v>4</v>
      </c>
      <c r="DS105" s="11" t="s">
        <v>5</v>
      </c>
      <c r="DT105" s="12" t="s">
        <v>6</v>
      </c>
      <c r="DU105" s="13"/>
    </row>
    <row r="106" spans="1:128" x14ac:dyDescent="0.25">
      <c r="A106" s="10">
        <v>1</v>
      </c>
      <c r="B106" s="10">
        <v>1</v>
      </c>
      <c r="C106" s="42"/>
      <c r="D106" s="15">
        <v>5</v>
      </c>
      <c r="E106" s="15">
        <v>5</v>
      </c>
      <c r="F106" s="15">
        <v>2.5</v>
      </c>
      <c r="G106" s="16">
        <f>D106*E106*F106*0.52</f>
        <v>32.5</v>
      </c>
      <c r="H106" s="69"/>
      <c r="J106" s="10">
        <v>1</v>
      </c>
      <c r="K106" s="10">
        <v>1</v>
      </c>
      <c r="L106" s="42"/>
      <c r="M106" s="15">
        <v>2.2999999999999998</v>
      </c>
      <c r="N106" s="15">
        <v>5.6</v>
      </c>
      <c r="O106" s="15">
        <v>4</v>
      </c>
      <c r="P106" s="16">
        <f>M106*N106*O106*0.52</f>
        <v>26.790399999999998</v>
      </c>
      <c r="Q106" s="69"/>
      <c r="S106" s="10">
        <v>1</v>
      </c>
      <c r="T106" s="10">
        <v>1</v>
      </c>
      <c r="U106" s="42"/>
      <c r="V106" s="15">
        <v>5</v>
      </c>
      <c r="W106" s="15">
        <v>5</v>
      </c>
      <c r="X106" s="15">
        <v>4</v>
      </c>
      <c r="Y106" s="16">
        <f>V106*W106*X106*0.52</f>
        <v>52</v>
      </c>
      <c r="Z106" s="69"/>
      <c r="AB106" s="10">
        <v>1</v>
      </c>
      <c r="AC106" s="10">
        <v>1</v>
      </c>
      <c r="AD106" s="42"/>
      <c r="AE106" s="15">
        <v>7</v>
      </c>
      <c r="AF106" s="15">
        <v>7</v>
      </c>
      <c r="AG106" s="15">
        <v>4.4000000000000004</v>
      </c>
      <c r="AH106" s="16">
        <f>AE106*AF106*AG106*0.52</f>
        <v>112.11200000000001</v>
      </c>
      <c r="AI106" s="69"/>
      <c r="AK106" s="10">
        <v>1</v>
      </c>
      <c r="AL106" s="10">
        <v>1</v>
      </c>
      <c r="AM106" s="42"/>
      <c r="AN106" s="15">
        <v>5.9</v>
      </c>
      <c r="AO106" s="15">
        <v>8</v>
      </c>
      <c r="AP106" s="15">
        <v>3.9</v>
      </c>
      <c r="AQ106" s="16">
        <f>AN106*AO106*AP106*0.52</f>
        <v>95.721600000000009</v>
      </c>
      <c r="AR106" s="69"/>
      <c r="AT106" s="10">
        <v>1</v>
      </c>
      <c r="AU106" s="10">
        <v>1</v>
      </c>
      <c r="AV106" s="42"/>
      <c r="AW106" s="15">
        <v>7.9</v>
      </c>
      <c r="AX106" s="15">
        <v>9</v>
      </c>
      <c r="AY106" s="15">
        <v>5.3</v>
      </c>
      <c r="AZ106" s="16">
        <f>AW106*AX106*AY106*0.52</f>
        <v>195.95160000000004</v>
      </c>
      <c r="BA106" s="69"/>
      <c r="BC106" s="10">
        <v>1</v>
      </c>
      <c r="BD106" s="10">
        <v>1</v>
      </c>
      <c r="BE106" s="42"/>
      <c r="BF106" s="15">
        <v>10</v>
      </c>
      <c r="BG106" s="15">
        <v>10</v>
      </c>
      <c r="BH106" s="15">
        <v>7</v>
      </c>
      <c r="BI106" s="16">
        <f>BF106*BG106*BH106*0.52</f>
        <v>364</v>
      </c>
      <c r="BJ106" s="69"/>
      <c r="BL106" s="10">
        <v>1</v>
      </c>
      <c r="BM106" s="10">
        <v>1</v>
      </c>
      <c r="BN106" s="42"/>
      <c r="BO106" s="15">
        <v>13</v>
      </c>
      <c r="BP106" s="15">
        <v>12.5</v>
      </c>
      <c r="BQ106" s="15">
        <v>9.9</v>
      </c>
      <c r="BR106" s="16">
        <f>BO106*BP106*BQ106*0.52</f>
        <v>836.55000000000007</v>
      </c>
      <c r="BS106" s="69"/>
      <c r="BU106" s="10">
        <v>1</v>
      </c>
      <c r="BV106" s="10">
        <v>1</v>
      </c>
      <c r="BW106" s="42"/>
      <c r="BX106" s="15">
        <v>16</v>
      </c>
      <c r="BY106" s="15">
        <v>14.7</v>
      </c>
      <c r="BZ106" s="15">
        <v>6.7</v>
      </c>
      <c r="CA106" s="16">
        <f>BX106*BY106*BZ106*0.52</f>
        <v>819.43679999999995</v>
      </c>
      <c r="CB106" s="69"/>
      <c r="CD106" s="10">
        <v>1</v>
      </c>
      <c r="CE106" s="10">
        <v>1</v>
      </c>
      <c r="CF106" s="42"/>
      <c r="CG106" s="15">
        <v>20</v>
      </c>
      <c r="CH106" s="15">
        <v>20</v>
      </c>
      <c r="CI106" s="15">
        <v>9</v>
      </c>
      <c r="CJ106" s="16">
        <f>CG106*CH106*CI106*0.52</f>
        <v>1872</v>
      </c>
      <c r="CK106" s="69"/>
      <c r="CM106" s="10">
        <v>1</v>
      </c>
      <c r="CN106" s="10">
        <v>1</v>
      </c>
      <c r="CO106" s="42"/>
      <c r="CP106" s="15">
        <v>27</v>
      </c>
      <c r="CQ106" s="15">
        <v>23</v>
      </c>
      <c r="CR106" s="15">
        <v>8</v>
      </c>
      <c r="CS106" s="82">
        <f>CP106*CQ106*CR106*0.52</f>
        <v>2583.36</v>
      </c>
      <c r="CT106" s="69" t="s">
        <v>82</v>
      </c>
      <c r="CV106" s="10">
        <v>1</v>
      </c>
      <c r="CW106" s="10">
        <v>1</v>
      </c>
      <c r="CX106" s="42"/>
      <c r="CY106" s="85"/>
      <c r="CZ106" s="85"/>
      <c r="DA106" s="85"/>
      <c r="DB106" s="82"/>
      <c r="DC106" s="69" t="s">
        <v>82</v>
      </c>
      <c r="DE106" s="10">
        <v>1</v>
      </c>
      <c r="DF106" s="10">
        <v>1</v>
      </c>
      <c r="DG106" s="42"/>
      <c r="DH106" s="85"/>
      <c r="DI106" s="85"/>
      <c r="DJ106" s="85"/>
      <c r="DK106" s="82"/>
      <c r="DL106" s="69" t="s">
        <v>82</v>
      </c>
      <c r="DN106" s="10">
        <v>1</v>
      </c>
      <c r="DO106" s="10">
        <v>1</v>
      </c>
      <c r="DP106" s="42"/>
      <c r="DQ106" s="85"/>
      <c r="DR106" s="85"/>
      <c r="DS106" s="85"/>
      <c r="DT106" s="82"/>
      <c r="DU106" s="69" t="s">
        <v>82</v>
      </c>
      <c r="DX106">
        <v>25</v>
      </c>
    </row>
    <row r="107" spans="1:128" x14ac:dyDescent="0.25">
      <c r="A107" s="10">
        <v>2</v>
      </c>
      <c r="B107" s="10">
        <v>2</v>
      </c>
      <c r="C107" s="42"/>
      <c r="D107" s="15">
        <v>5</v>
      </c>
      <c r="E107" s="15">
        <v>4</v>
      </c>
      <c r="F107" s="15">
        <v>3.5</v>
      </c>
      <c r="G107" s="16">
        <f t="shared" ref="G107:G114" si="69">D107*E107*F107*0.52</f>
        <v>36.4</v>
      </c>
      <c r="H107" s="69"/>
      <c r="J107" s="10">
        <v>2</v>
      </c>
      <c r="K107" s="10">
        <v>2</v>
      </c>
      <c r="L107" s="42"/>
      <c r="M107" s="15">
        <v>5</v>
      </c>
      <c r="N107" s="15">
        <v>5</v>
      </c>
      <c r="O107" s="15">
        <v>3</v>
      </c>
      <c r="P107" s="16">
        <f t="shared" ref="P107:P114" si="70">M107*N107*O107*0.52</f>
        <v>39</v>
      </c>
      <c r="Q107" s="69"/>
      <c r="S107" s="10">
        <v>2</v>
      </c>
      <c r="T107" s="10">
        <v>2</v>
      </c>
      <c r="U107" s="42"/>
      <c r="V107" s="15">
        <v>6</v>
      </c>
      <c r="W107" s="15">
        <v>6</v>
      </c>
      <c r="X107" s="15">
        <v>3.5</v>
      </c>
      <c r="Y107" s="16">
        <f t="shared" ref="Y107:Y114" si="71">V107*W107*X107*0.52</f>
        <v>65.52</v>
      </c>
      <c r="Z107" s="69"/>
      <c r="AB107" s="10">
        <v>2</v>
      </c>
      <c r="AC107" s="10">
        <v>2</v>
      </c>
      <c r="AD107" s="42"/>
      <c r="AE107" s="15">
        <v>7.6</v>
      </c>
      <c r="AF107" s="15">
        <v>5.9</v>
      </c>
      <c r="AG107" s="15">
        <v>4.0999999999999996</v>
      </c>
      <c r="AH107" s="16">
        <f t="shared" ref="AH107:AH114" si="72">AE107*AF107*AG107*0.52</f>
        <v>95.598879999999994</v>
      </c>
      <c r="AI107" s="69"/>
      <c r="AK107" s="10">
        <v>2</v>
      </c>
      <c r="AL107" s="10">
        <v>2</v>
      </c>
      <c r="AM107" s="42"/>
      <c r="AN107" s="15">
        <v>5</v>
      </c>
      <c r="AO107" s="15">
        <v>5</v>
      </c>
      <c r="AP107" s="15">
        <v>5</v>
      </c>
      <c r="AQ107" s="16">
        <f t="shared" ref="AQ107:AQ114" si="73">AN107*AO107*AP107*0.52</f>
        <v>65</v>
      </c>
      <c r="AR107" s="69"/>
      <c r="AT107" s="10">
        <v>2</v>
      </c>
      <c r="AU107" s="10">
        <v>2</v>
      </c>
      <c r="AV107" s="42"/>
      <c r="AW107" s="15">
        <v>6.3</v>
      </c>
      <c r="AX107" s="15">
        <v>7.1</v>
      </c>
      <c r="AY107" s="15">
        <v>4.2</v>
      </c>
      <c r="AZ107" s="16">
        <f t="shared" ref="AZ107:AZ114" si="74">AW107*AX107*AY107*0.52</f>
        <v>97.69032</v>
      </c>
      <c r="BA107" s="69"/>
      <c r="BC107" s="10">
        <v>2</v>
      </c>
      <c r="BD107" s="10">
        <v>2</v>
      </c>
      <c r="BE107" s="42"/>
      <c r="BF107" s="15">
        <v>7</v>
      </c>
      <c r="BG107" s="15">
        <v>7</v>
      </c>
      <c r="BH107" s="15">
        <v>6</v>
      </c>
      <c r="BI107" s="16">
        <f t="shared" ref="BI107:BI114" si="75">BF107*BG107*BH107*0.52</f>
        <v>152.88</v>
      </c>
      <c r="BJ107" s="69"/>
      <c r="BL107" s="10">
        <v>2</v>
      </c>
      <c r="BM107" s="10">
        <v>2</v>
      </c>
      <c r="BN107" s="42"/>
      <c r="BO107" s="15">
        <v>8</v>
      </c>
      <c r="BP107" s="15">
        <v>7</v>
      </c>
      <c r="BQ107" s="15">
        <v>5.5</v>
      </c>
      <c r="BR107" s="16">
        <f t="shared" ref="BR107:BR114" si="76">BO107*BP107*BQ107*0.52</f>
        <v>160.16</v>
      </c>
      <c r="BS107" s="69"/>
      <c r="BU107" s="10">
        <v>2</v>
      </c>
      <c r="BV107" s="10">
        <v>2</v>
      </c>
      <c r="BW107" s="42"/>
      <c r="BX107" s="15">
        <v>11.8</v>
      </c>
      <c r="BY107" s="15">
        <v>10.199999999999999</v>
      </c>
      <c r="BZ107" s="15">
        <v>6.9</v>
      </c>
      <c r="CA107" s="16">
        <f t="shared" ref="CA107:CA110" si="77">BX107*BY107*BZ107*0.52</f>
        <v>431.85168000000004</v>
      </c>
      <c r="CB107" s="69"/>
      <c r="CD107" s="10">
        <v>2</v>
      </c>
      <c r="CE107" s="10">
        <v>2</v>
      </c>
      <c r="CF107" s="42"/>
      <c r="CG107" s="15">
        <v>14</v>
      </c>
      <c r="CH107" s="15">
        <v>11.7</v>
      </c>
      <c r="CI107" s="15">
        <v>8.5</v>
      </c>
      <c r="CJ107" s="16">
        <f t="shared" ref="CJ107:CJ110" si="78">CG107*CH107*CI107*0.52</f>
        <v>723.99599999999998</v>
      </c>
      <c r="CK107" s="69"/>
      <c r="CM107" s="10">
        <v>2</v>
      </c>
      <c r="CN107" s="10">
        <v>2</v>
      </c>
      <c r="CO107" s="42"/>
      <c r="CP107" s="15">
        <v>18</v>
      </c>
      <c r="CQ107" s="15">
        <v>15</v>
      </c>
      <c r="CR107" s="15">
        <v>6.5</v>
      </c>
      <c r="CS107" s="16">
        <f t="shared" ref="CS107" si="79">CP107*CQ107*CR107*0.52</f>
        <v>912.6</v>
      </c>
      <c r="CT107" s="69"/>
      <c r="CV107" s="10">
        <v>2</v>
      </c>
      <c r="CW107" s="10">
        <v>2</v>
      </c>
      <c r="CX107" s="42"/>
      <c r="CY107" s="15">
        <v>22.4</v>
      </c>
      <c r="CZ107" s="15">
        <v>15.6</v>
      </c>
      <c r="DA107" s="15">
        <v>12.1</v>
      </c>
      <c r="DB107" s="76">
        <f t="shared" ref="DB107" si="80">CY107*CZ107*DA107*0.52</f>
        <v>2198.6764800000001</v>
      </c>
      <c r="DC107" s="69" t="s">
        <v>85</v>
      </c>
      <c r="DE107" s="10">
        <v>2</v>
      </c>
      <c r="DF107" s="10">
        <v>2</v>
      </c>
      <c r="DG107" s="42"/>
      <c r="DH107" s="77"/>
      <c r="DI107" s="77"/>
      <c r="DJ107" s="77"/>
      <c r="DK107" s="76"/>
      <c r="DL107" s="69" t="s">
        <v>85</v>
      </c>
      <c r="DN107" s="10">
        <v>2</v>
      </c>
      <c r="DO107" s="10">
        <v>2</v>
      </c>
      <c r="DP107" s="42"/>
      <c r="DQ107" s="77"/>
      <c r="DR107" s="77"/>
      <c r="DS107" s="77"/>
      <c r="DT107" s="76"/>
      <c r="DU107" s="69" t="s">
        <v>85</v>
      </c>
      <c r="DX107">
        <v>33</v>
      </c>
    </row>
    <row r="108" spans="1:128" x14ac:dyDescent="0.25">
      <c r="A108" s="10">
        <v>3</v>
      </c>
      <c r="B108" s="10">
        <v>3</v>
      </c>
      <c r="C108" s="42"/>
      <c r="D108" s="15">
        <v>3</v>
      </c>
      <c r="E108" s="15">
        <v>3</v>
      </c>
      <c r="F108" s="15">
        <v>2</v>
      </c>
      <c r="G108" s="16">
        <f>D108*E108*F108*0.52</f>
        <v>9.36</v>
      </c>
      <c r="H108" s="69"/>
      <c r="J108" s="10">
        <v>3</v>
      </c>
      <c r="K108" s="10">
        <v>3</v>
      </c>
      <c r="L108" s="42"/>
      <c r="M108" s="15">
        <v>5</v>
      </c>
      <c r="N108" s="15">
        <v>5</v>
      </c>
      <c r="O108" s="15">
        <v>3</v>
      </c>
      <c r="P108" s="16">
        <f t="shared" si="70"/>
        <v>39</v>
      </c>
      <c r="Q108" s="69"/>
      <c r="S108" s="10">
        <v>3</v>
      </c>
      <c r="T108" s="10">
        <v>3</v>
      </c>
      <c r="U108" s="42"/>
      <c r="V108" s="15">
        <v>6.3</v>
      </c>
      <c r="W108" s="15">
        <v>6</v>
      </c>
      <c r="X108" s="15">
        <v>2.9</v>
      </c>
      <c r="Y108" s="16">
        <f t="shared" si="71"/>
        <v>57.002399999999994</v>
      </c>
      <c r="Z108" s="69"/>
      <c r="AB108" s="10">
        <v>3</v>
      </c>
      <c r="AC108" s="10">
        <v>3</v>
      </c>
      <c r="AD108" s="42"/>
      <c r="AE108" s="15">
        <v>8</v>
      </c>
      <c r="AF108" s="15">
        <v>8</v>
      </c>
      <c r="AG108" s="15">
        <v>4.9000000000000004</v>
      </c>
      <c r="AH108" s="16">
        <f t="shared" si="72"/>
        <v>163.07200000000003</v>
      </c>
      <c r="AI108" s="69"/>
      <c r="AK108" s="10">
        <v>3</v>
      </c>
      <c r="AL108" s="10">
        <v>3</v>
      </c>
      <c r="AM108" s="42"/>
      <c r="AN108" s="15">
        <v>8</v>
      </c>
      <c r="AO108" s="15">
        <v>10</v>
      </c>
      <c r="AP108" s="15">
        <v>6</v>
      </c>
      <c r="AQ108" s="16">
        <f t="shared" si="73"/>
        <v>249.60000000000002</v>
      </c>
      <c r="AR108" s="69"/>
      <c r="AT108" s="10">
        <v>3</v>
      </c>
      <c r="AU108" s="10">
        <v>3</v>
      </c>
      <c r="AV108" s="42"/>
      <c r="AW108" s="15">
        <v>9.5</v>
      </c>
      <c r="AX108" s="15">
        <v>10</v>
      </c>
      <c r="AY108" s="15">
        <v>7</v>
      </c>
      <c r="AZ108" s="16">
        <f t="shared" si="74"/>
        <v>345.8</v>
      </c>
      <c r="BA108" s="69"/>
      <c r="BC108" s="10">
        <v>3</v>
      </c>
      <c r="BD108" s="10">
        <v>3</v>
      </c>
      <c r="BE108" s="42"/>
      <c r="BF108" s="15">
        <v>13</v>
      </c>
      <c r="BG108" s="15">
        <v>13</v>
      </c>
      <c r="BH108" s="15">
        <v>8</v>
      </c>
      <c r="BI108" s="16">
        <f t="shared" si="75"/>
        <v>703.04000000000008</v>
      </c>
      <c r="BJ108" s="69"/>
      <c r="BL108" s="10">
        <v>3</v>
      </c>
      <c r="BM108" s="10">
        <v>3</v>
      </c>
      <c r="BN108" s="42"/>
      <c r="BO108" s="15">
        <v>14</v>
      </c>
      <c r="BP108" s="15">
        <v>12</v>
      </c>
      <c r="BQ108" s="15">
        <v>8</v>
      </c>
      <c r="BR108" s="16">
        <f t="shared" si="76"/>
        <v>698.88</v>
      </c>
      <c r="BS108" s="69"/>
      <c r="BU108" s="10">
        <v>3</v>
      </c>
      <c r="BV108" s="10">
        <v>3</v>
      </c>
      <c r="BW108" s="42"/>
      <c r="BX108" s="15">
        <v>20</v>
      </c>
      <c r="BY108" s="15">
        <v>18</v>
      </c>
      <c r="BZ108" s="15">
        <v>9.1</v>
      </c>
      <c r="CA108" s="16">
        <f t="shared" si="77"/>
        <v>1703.52</v>
      </c>
      <c r="CB108" s="69"/>
      <c r="CD108" s="10">
        <v>3</v>
      </c>
      <c r="CE108" s="10">
        <v>3</v>
      </c>
      <c r="CF108" s="42"/>
      <c r="CG108" s="15">
        <v>24</v>
      </c>
      <c r="CH108" s="15">
        <v>23</v>
      </c>
      <c r="CI108" s="15">
        <v>12</v>
      </c>
      <c r="CJ108" s="82">
        <f t="shared" si="78"/>
        <v>3444.48</v>
      </c>
      <c r="CK108" s="69" t="s">
        <v>78</v>
      </c>
      <c r="CM108" s="10">
        <v>3</v>
      </c>
      <c r="CN108" s="10">
        <v>3</v>
      </c>
      <c r="CO108" s="42"/>
      <c r="CP108" s="83"/>
      <c r="CQ108" s="83"/>
      <c r="CR108" s="83"/>
      <c r="CS108" s="82"/>
      <c r="CT108" s="69" t="s">
        <v>78</v>
      </c>
      <c r="CV108" s="10">
        <v>3</v>
      </c>
      <c r="CW108" s="10">
        <v>3</v>
      </c>
      <c r="CX108" s="42"/>
      <c r="CY108" s="83"/>
      <c r="CZ108" s="83"/>
      <c r="DA108" s="83"/>
      <c r="DB108" s="82"/>
      <c r="DC108" s="69" t="s">
        <v>78</v>
      </c>
      <c r="DE108" s="10">
        <v>3</v>
      </c>
      <c r="DF108" s="10">
        <v>3</v>
      </c>
      <c r="DG108" s="42"/>
      <c r="DH108" s="83"/>
      <c r="DI108" s="83"/>
      <c r="DJ108" s="83"/>
      <c r="DK108" s="82"/>
      <c r="DL108" s="69" t="s">
        <v>78</v>
      </c>
      <c r="DN108" s="10">
        <v>3</v>
      </c>
      <c r="DO108" s="10">
        <v>3</v>
      </c>
      <c r="DP108" s="42"/>
      <c r="DQ108" s="83"/>
      <c r="DR108" s="83"/>
      <c r="DS108" s="83"/>
      <c r="DT108" s="82"/>
      <c r="DU108" s="69" t="s">
        <v>78</v>
      </c>
      <c r="DX108">
        <v>36</v>
      </c>
    </row>
    <row r="109" spans="1:128" x14ac:dyDescent="0.25">
      <c r="A109" s="10">
        <v>4</v>
      </c>
      <c r="B109" s="10">
        <v>4</v>
      </c>
      <c r="C109" s="42"/>
      <c r="D109" s="15">
        <v>5</v>
      </c>
      <c r="E109" s="15">
        <v>5</v>
      </c>
      <c r="F109" s="15">
        <v>3</v>
      </c>
      <c r="G109" s="16">
        <f t="shared" si="69"/>
        <v>39</v>
      </c>
      <c r="H109" s="69"/>
      <c r="J109" s="10">
        <v>4</v>
      </c>
      <c r="K109" s="10">
        <v>4</v>
      </c>
      <c r="L109" s="42"/>
      <c r="M109" s="15">
        <v>4.8</v>
      </c>
      <c r="N109" s="15">
        <v>4.5999999999999996</v>
      </c>
      <c r="O109" s="15">
        <v>2.8</v>
      </c>
      <c r="P109" s="16">
        <f t="shared" si="70"/>
        <v>32.148479999999999</v>
      </c>
      <c r="Q109" s="69"/>
      <c r="S109" s="10">
        <v>4</v>
      </c>
      <c r="T109" s="10">
        <v>4</v>
      </c>
      <c r="U109" s="42"/>
      <c r="V109" s="15">
        <v>7.2</v>
      </c>
      <c r="W109" s="15">
        <v>6.2</v>
      </c>
      <c r="X109" s="15">
        <v>4.2</v>
      </c>
      <c r="Y109" s="16">
        <f t="shared" si="71"/>
        <v>97.493760000000009</v>
      </c>
      <c r="Z109" s="69"/>
      <c r="AB109" s="10">
        <v>4</v>
      </c>
      <c r="AC109" s="10">
        <v>4</v>
      </c>
      <c r="AD109" s="42"/>
      <c r="AE109" s="15">
        <v>8.1999999999999993</v>
      </c>
      <c r="AF109" s="15">
        <v>7</v>
      </c>
      <c r="AG109" s="15">
        <v>4.8</v>
      </c>
      <c r="AH109" s="16">
        <f t="shared" si="72"/>
        <v>143.27039999999997</v>
      </c>
      <c r="AI109" s="69"/>
      <c r="AK109" s="10">
        <v>4</v>
      </c>
      <c r="AL109" s="10">
        <v>4</v>
      </c>
      <c r="AM109" s="42"/>
      <c r="AN109" s="15">
        <v>7.5</v>
      </c>
      <c r="AO109" s="15">
        <v>6.3</v>
      </c>
      <c r="AP109" s="15">
        <v>5.5</v>
      </c>
      <c r="AQ109" s="16">
        <f t="shared" si="73"/>
        <v>135.13499999999999</v>
      </c>
      <c r="AR109" s="69"/>
      <c r="AT109" s="10">
        <v>4</v>
      </c>
      <c r="AU109" s="10">
        <v>4</v>
      </c>
      <c r="AV109" s="42"/>
      <c r="AW109" s="15">
        <v>9</v>
      </c>
      <c r="AX109" s="15">
        <v>8</v>
      </c>
      <c r="AY109" s="15">
        <v>5.5</v>
      </c>
      <c r="AZ109" s="16">
        <f t="shared" si="74"/>
        <v>205.92000000000002</v>
      </c>
      <c r="BA109" s="69"/>
      <c r="BC109" s="10">
        <v>4</v>
      </c>
      <c r="BD109" s="10">
        <v>4</v>
      </c>
      <c r="BE109" s="42"/>
      <c r="BF109" s="15">
        <v>11</v>
      </c>
      <c r="BG109" s="15">
        <v>10</v>
      </c>
      <c r="BH109" s="15">
        <v>8.4</v>
      </c>
      <c r="BI109" s="16">
        <f t="shared" si="75"/>
        <v>480.48</v>
      </c>
      <c r="BJ109" s="69"/>
      <c r="BL109" s="10">
        <v>4</v>
      </c>
      <c r="BM109" s="10">
        <v>4</v>
      </c>
      <c r="BN109" s="42"/>
      <c r="BO109" s="15">
        <v>12</v>
      </c>
      <c r="BP109" s="15">
        <v>12</v>
      </c>
      <c r="BQ109" s="15">
        <v>8</v>
      </c>
      <c r="BR109" s="16">
        <f t="shared" si="76"/>
        <v>599.04</v>
      </c>
      <c r="BS109" s="69"/>
      <c r="BU109" s="10">
        <v>4</v>
      </c>
      <c r="BV109" s="10">
        <v>4</v>
      </c>
      <c r="BW109" s="42"/>
      <c r="BX109" s="15">
        <v>16</v>
      </c>
      <c r="BY109" s="15">
        <v>14</v>
      </c>
      <c r="BZ109" s="15">
        <v>9</v>
      </c>
      <c r="CA109" s="16">
        <f t="shared" si="77"/>
        <v>1048.32</v>
      </c>
      <c r="CB109" s="69"/>
      <c r="CD109" s="10">
        <v>4</v>
      </c>
      <c r="CE109" s="10">
        <v>4</v>
      </c>
      <c r="CF109" s="42"/>
      <c r="CG109" s="15">
        <v>23</v>
      </c>
      <c r="CH109" s="15">
        <v>19</v>
      </c>
      <c r="CI109" s="15">
        <v>12.9</v>
      </c>
      <c r="CJ109" s="82">
        <f t="shared" si="78"/>
        <v>2931.3960000000002</v>
      </c>
      <c r="CK109" s="69" t="s">
        <v>78</v>
      </c>
      <c r="CM109" s="10">
        <v>4</v>
      </c>
      <c r="CN109" s="10">
        <v>4</v>
      </c>
      <c r="CO109" s="42"/>
      <c r="CP109" s="83"/>
      <c r="CQ109" s="83"/>
      <c r="CR109" s="83"/>
      <c r="CS109" s="82"/>
      <c r="CT109" s="69" t="s">
        <v>78</v>
      </c>
      <c r="CV109" s="10">
        <v>4</v>
      </c>
      <c r="CW109" s="10">
        <v>4</v>
      </c>
      <c r="CX109" s="42"/>
      <c r="CY109" s="83"/>
      <c r="CZ109" s="83"/>
      <c r="DA109" s="83"/>
      <c r="DB109" s="82"/>
      <c r="DC109" s="69" t="s">
        <v>78</v>
      </c>
      <c r="DE109" s="10">
        <v>4</v>
      </c>
      <c r="DF109" s="10">
        <v>4</v>
      </c>
      <c r="DG109" s="42"/>
      <c r="DH109" s="83"/>
      <c r="DI109" s="83"/>
      <c r="DJ109" s="83"/>
      <c r="DK109" s="82"/>
      <c r="DL109" s="69" t="s">
        <v>78</v>
      </c>
      <c r="DN109" s="10">
        <v>4</v>
      </c>
      <c r="DO109" s="10">
        <v>4</v>
      </c>
      <c r="DP109" s="42"/>
      <c r="DQ109" s="83"/>
      <c r="DR109" s="83"/>
      <c r="DS109" s="83"/>
      <c r="DT109" s="82"/>
      <c r="DU109" s="69" t="s">
        <v>78</v>
      </c>
      <c r="DX109">
        <v>36</v>
      </c>
    </row>
    <row r="110" spans="1:128" x14ac:dyDescent="0.25">
      <c r="A110" s="10">
        <v>5</v>
      </c>
      <c r="B110" s="10">
        <v>5</v>
      </c>
      <c r="C110" s="42"/>
      <c r="D110" s="15">
        <v>3</v>
      </c>
      <c r="E110" s="15">
        <v>3</v>
      </c>
      <c r="F110" s="15">
        <v>3</v>
      </c>
      <c r="G110" s="16">
        <f t="shared" si="69"/>
        <v>14.040000000000001</v>
      </c>
      <c r="H110" s="69"/>
      <c r="J110" s="10">
        <v>5</v>
      </c>
      <c r="K110" s="10">
        <v>5</v>
      </c>
      <c r="L110" s="42"/>
      <c r="M110" s="15">
        <v>5</v>
      </c>
      <c r="N110" s="15">
        <v>5</v>
      </c>
      <c r="O110" s="15">
        <v>3.3</v>
      </c>
      <c r="P110" s="16">
        <f t="shared" si="70"/>
        <v>42.9</v>
      </c>
      <c r="Q110" s="69"/>
      <c r="S110" s="10">
        <v>5</v>
      </c>
      <c r="T110" s="10">
        <v>5</v>
      </c>
      <c r="U110" s="42"/>
      <c r="V110" s="15">
        <v>6.5</v>
      </c>
      <c r="W110" s="15">
        <v>5.4</v>
      </c>
      <c r="X110" s="15">
        <v>3.2</v>
      </c>
      <c r="Y110" s="16">
        <f t="shared" si="71"/>
        <v>58.406400000000005</v>
      </c>
      <c r="Z110" s="69"/>
      <c r="AB110" s="10">
        <v>5</v>
      </c>
      <c r="AC110" s="10">
        <v>5</v>
      </c>
      <c r="AD110" s="42"/>
      <c r="AE110" s="15">
        <v>8.1999999999999993</v>
      </c>
      <c r="AF110" s="15">
        <v>6.5</v>
      </c>
      <c r="AG110" s="15">
        <v>4.9000000000000004</v>
      </c>
      <c r="AH110" s="16">
        <f t="shared" si="72"/>
        <v>135.80840000000001</v>
      </c>
      <c r="AI110" s="69"/>
      <c r="AK110" s="10">
        <v>5</v>
      </c>
      <c r="AL110" s="10">
        <v>5</v>
      </c>
      <c r="AM110" s="42"/>
      <c r="AN110" s="15">
        <v>10</v>
      </c>
      <c r="AO110" s="15">
        <v>6.2</v>
      </c>
      <c r="AP110" s="15">
        <v>6</v>
      </c>
      <c r="AQ110" s="16">
        <f t="shared" si="73"/>
        <v>193.44</v>
      </c>
      <c r="AR110" s="69"/>
      <c r="AT110" s="10">
        <v>5</v>
      </c>
      <c r="AU110" s="10">
        <v>5</v>
      </c>
      <c r="AV110" s="42"/>
      <c r="AW110" s="15">
        <v>9</v>
      </c>
      <c r="AX110" s="15">
        <v>5</v>
      </c>
      <c r="AY110" s="15">
        <v>6</v>
      </c>
      <c r="AZ110" s="16">
        <f t="shared" si="74"/>
        <v>140.4</v>
      </c>
      <c r="BA110" s="69"/>
      <c r="BC110" s="10">
        <v>5</v>
      </c>
      <c r="BD110" s="10">
        <v>5</v>
      </c>
      <c r="BE110" s="42"/>
      <c r="BF110" s="15">
        <v>9.6999999999999993</v>
      </c>
      <c r="BG110" s="15">
        <v>12</v>
      </c>
      <c r="BH110" s="15">
        <v>8.3000000000000007</v>
      </c>
      <c r="BI110" s="16">
        <f t="shared" si="75"/>
        <v>502.38240000000002</v>
      </c>
      <c r="BJ110" s="69"/>
      <c r="BL110" s="10">
        <v>5</v>
      </c>
      <c r="BM110" s="10">
        <v>5</v>
      </c>
      <c r="BN110" s="42"/>
      <c r="BO110" s="15">
        <v>13</v>
      </c>
      <c r="BP110" s="15">
        <v>10</v>
      </c>
      <c r="BQ110" s="15">
        <v>8</v>
      </c>
      <c r="BR110" s="16">
        <f t="shared" si="76"/>
        <v>540.80000000000007</v>
      </c>
      <c r="BS110" s="69"/>
      <c r="BU110" s="10">
        <v>5</v>
      </c>
      <c r="BV110" s="10">
        <v>5</v>
      </c>
      <c r="BW110" s="42"/>
      <c r="BX110" s="15">
        <v>19</v>
      </c>
      <c r="BY110" s="15">
        <v>14.5</v>
      </c>
      <c r="BZ110" s="15">
        <v>10.4</v>
      </c>
      <c r="CA110" s="16">
        <f t="shared" si="77"/>
        <v>1489.9040000000002</v>
      </c>
      <c r="CB110" s="69"/>
      <c r="CD110" s="10">
        <v>5</v>
      </c>
      <c r="CE110" s="10">
        <v>5</v>
      </c>
      <c r="CF110" s="42"/>
      <c r="CG110" s="15">
        <v>20</v>
      </c>
      <c r="CH110" s="15">
        <v>18</v>
      </c>
      <c r="CI110" s="15">
        <v>11.3</v>
      </c>
      <c r="CJ110" s="82">
        <f t="shared" si="78"/>
        <v>2115.36</v>
      </c>
      <c r="CK110" s="69" t="s">
        <v>78</v>
      </c>
      <c r="CM110" s="10">
        <v>5</v>
      </c>
      <c r="CN110" s="10">
        <v>5</v>
      </c>
      <c r="CO110" s="42"/>
      <c r="CP110" s="83"/>
      <c r="CQ110" s="83"/>
      <c r="CR110" s="83"/>
      <c r="CS110" s="82"/>
      <c r="CT110" s="69" t="s">
        <v>78</v>
      </c>
      <c r="CV110" s="10">
        <v>5</v>
      </c>
      <c r="CW110" s="10">
        <v>5</v>
      </c>
      <c r="CX110" s="42"/>
      <c r="CY110" s="83"/>
      <c r="CZ110" s="83"/>
      <c r="DA110" s="83"/>
      <c r="DB110" s="82"/>
      <c r="DC110" s="69" t="s">
        <v>78</v>
      </c>
      <c r="DE110" s="10">
        <v>5</v>
      </c>
      <c r="DF110" s="10">
        <v>5</v>
      </c>
      <c r="DG110" s="42"/>
      <c r="DH110" s="83"/>
      <c r="DI110" s="83"/>
      <c r="DJ110" s="83"/>
      <c r="DK110" s="82"/>
      <c r="DL110" s="69" t="s">
        <v>78</v>
      </c>
      <c r="DN110" s="10">
        <v>5</v>
      </c>
      <c r="DO110" s="10">
        <v>5</v>
      </c>
      <c r="DP110" s="42"/>
      <c r="DQ110" s="83"/>
      <c r="DR110" s="83"/>
      <c r="DS110" s="83"/>
      <c r="DT110" s="82"/>
      <c r="DU110" s="69" t="s">
        <v>78</v>
      </c>
      <c r="DX110">
        <v>36</v>
      </c>
    </row>
    <row r="111" spans="1:128" x14ac:dyDescent="0.25">
      <c r="A111" s="10">
        <v>6</v>
      </c>
      <c r="B111" s="10">
        <v>6</v>
      </c>
      <c r="C111" s="42"/>
      <c r="D111" s="15">
        <v>4</v>
      </c>
      <c r="E111" s="15">
        <v>4</v>
      </c>
      <c r="F111" s="15">
        <v>3</v>
      </c>
      <c r="G111" s="16">
        <f t="shared" si="69"/>
        <v>24.96</v>
      </c>
      <c r="H111" s="69"/>
      <c r="J111" s="10">
        <v>6</v>
      </c>
      <c r="K111" s="10">
        <v>6</v>
      </c>
      <c r="L111" s="42"/>
      <c r="M111" s="15">
        <v>5</v>
      </c>
      <c r="N111" s="15">
        <v>3</v>
      </c>
      <c r="O111" s="15">
        <v>2</v>
      </c>
      <c r="P111" s="16">
        <f t="shared" si="70"/>
        <v>15.600000000000001</v>
      </c>
      <c r="Q111" s="69"/>
      <c r="S111" s="10">
        <v>6</v>
      </c>
      <c r="T111" s="10">
        <v>6</v>
      </c>
      <c r="U111" s="42"/>
      <c r="V111" s="15">
        <v>5.2</v>
      </c>
      <c r="W111" s="15">
        <v>8.8000000000000007</v>
      </c>
      <c r="X111" s="15">
        <v>2.7</v>
      </c>
      <c r="Y111" s="16">
        <f t="shared" si="71"/>
        <v>64.247040000000013</v>
      </c>
      <c r="Z111" s="69"/>
      <c r="AB111" s="10">
        <v>6</v>
      </c>
      <c r="AC111" s="10">
        <v>6</v>
      </c>
      <c r="AD111" s="42"/>
      <c r="AE111" s="15">
        <v>8.5</v>
      </c>
      <c r="AF111" s="15">
        <v>6.9</v>
      </c>
      <c r="AG111" s="15">
        <v>5.2</v>
      </c>
      <c r="AH111" s="16">
        <f t="shared" si="72"/>
        <v>158.58960000000002</v>
      </c>
      <c r="AI111" s="69"/>
      <c r="AK111" s="10">
        <v>6</v>
      </c>
      <c r="AL111" s="10">
        <v>6</v>
      </c>
      <c r="AM111" s="42"/>
      <c r="AN111" s="15">
        <v>14.6</v>
      </c>
      <c r="AO111" s="15">
        <v>13.5</v>
      </c>
      <c r="AP111" s="15">
        <v>8</v>
      </c>
      <c r="AQ111" s="16">
        <f t="shared" si="73"/>
        <v>819.93600000000004</v>
      </c>
      <c r="AR111" s="69"/>
      <c r="AT111" s="10">
        <v>6</v>
      </c>
      <c r="AU111" s="10">
        <v>6</v>
      </c>
      <c r="AV111" s="42"/>
      <c r="AW111" s="15">
        <v>16</v>
      </c>
      <c r="AX111" s="15">
        <v>15</v>
      </c>
      <c r="AY111" s="15">
        <v>9.5</v>
      </c>
      <c r="AZ111" s="16">
        <f t="shared" si="74"/>
        <v>1185.6000000000001</v>
      </c>
      <c r="BA111" s="69"/>
      <c r="BC111" s="10">
        <v>6</v>
      </c>
      <c r="BD111" s="10">
        <v>6</v>
      </c>
      <c r="BE111" s="42"/>
      <c r="BF111" s="15">
        <v>19</v>
      </c>
      <c r="BG111" s="15">
        <v>17.7</v>
      </c>
      <c r="BH111" s="15">
        <v>14.4</v>
      </c>
      <c r="BI111" s="76">
        <f t="shared" si="75"/>
        <v>2518.2144000000003</v>
      </c>
      <c r="BJ111" s="69" t="s">
        <v>70</v>
      </c>
      <c r="BL111" s="10">
        <v>6</v>
      </c>
      <c r="BM111" s="10">
        <v>6</v>
      </c>
      <c r="BN111" s="42"/>
      <c r="BO111" s="77"/>
      <c r="BP111" s="77"/>
      <c r="BQ111" s="77"/>
      <c r="BR111" s="76"/>
      <c r="BS111" s="69" t="s">
        <v>70</v>
      </c>
      <c r="BU111" s="10">
        <v>6</v>
      </c>
      <c r="BV111" s="10">
        <v>6</v>
      </c>
      <c r="BW111" s="42"/>
      <c r="BX111" s="77"/>
      <c r="BY111" s="77"/>
      <c r="BZ111" s="77"/>
      <c r="CA111" s="76"/>
      <c r="CB111" s="69" t="s">
        <v>70</v>
      </c>
      <c r="CD111" s="10">
        <v>6</v>
      </c>
      <c r="CE111" s="10">
        <v>6</v>
      </c>
      <c r="CF111" s="42"/>
      <c r="CG111" s="77"/>
      <c r="CH111" s="77"/>
      <c r="CI111" s="77"/>
      <c r="CJ111" s="76"/>
      <c r="CK111" s="69" t="s">
        <v>70</v>
      </c>
      <c r="CM111" s="10">
        <v>6</v>
      </c>
      <c r="CN111" s="10">
        <v>6</v>
      </c>
      <c r="CO111" s="42"/>
      <c r="CP111" s="77"/>
      <c r="CQ111" s="77"/>
      <c r="CR111" s="77"/>
      <c r="CS111" s="76"/>
      <c r="CT111" s="69" t="s">
        <v>70</v>
      </c>
      <c r="CV111" s="10">
        <v>6</v>
      </c>
      <c r="CW111" s="10">
        <v>6</v>
      </c>
      <c r="CX111" s="42"/>
      <c r="CY111" s="77"/>
      <c r="CZ111" s="77"/>
      <c r="DA111" s="77"/>
      <c r="DB111" s="76"/>
      <c r="DC111" s="69" t="s">
        <v>70</v>
      </c>
      <c r="DE111" s="10">
        <v>6</v>
      </c>
      <c r="DF111" s="10">
        <v>6</v>
      </c>
      <c r="DG111" s="42"/>
      <c r="DH111" s="77"/>
      <c r="DI111" s="77"/>
      <c r="DJ111" s="77"/>
      <c r="DK111" s="76"/>
      <c r="DL111" s="69" t="s">
        <v>70</v>
      </c>
      <c r="DN111" s="10">
        <v>6</v>
      </c>
      <c r="DO111" s="10">
        <v>6</v>
      </c>
      <c r="DP111" s="42"/>
      <c r="DQ111" s="77"/>
      <c r="DR111" s="77"/>
      <c r="DS111" s="77"/>
      <c r="DT111" s="76"/>
      <c r="DU111" s="69" t="s">
        <v>70</v>
      </c>
      <c r="DX111">
        <v>41</v>
      </c>
    </row>
    <row r="112" spans="1:128" x14ac:dyDescent="0.25">
      <c r="A112" s="10">
        <v>7</v>
      </c>
      <c r="B112" s="68">
        <v>14</v>
      </c>
      <c r="C112" s="42"/>
      <c r="D112" s="15">
        <v>4</v>
      </c>
      <c r="E112" s="15">
        <v>4</v>
      </c>
      <c r="F112" s="15">
        <v>3</v>
      </c>
      <c r="G112" s="16">
        <f t="shared" si="69"/>
        <v>24.96</v>
      </c>
      <c r="H112" s="69"/>
      <c r="J112" s="10">
        <v>7</v>
      </c>
      <c r="K112" s="68">
        <v>14</v>
      </c>
      <c r="L112" s="42"/>
      <c r="M112" s="15">
        <v>7.9</v>
      </c>
      <c r="N112" s="15">
        <v>4.7</v>
      </c>
      <c r="O112" s="15">
        <v>2.4</v>
      </c>
      <c r="P112" s="16">
        <f t="shared" si="70"/>
        <v>46.338240000000006</v>
      </c>
      <c r="Q112" s="69"/>
      <c r="S112" s="10">
        <v>7</v>
      </c>
      <c r="T112" s="68">
        <v>14</v>
      </c>
      <c r="U112" s="42"/>
      <c r="V112" s="15">
        <v>8.3000000000000007</v>
      </c>
      <c r="W112" s="15">
        <v>5.5</v>
      </c>
      <c r="X112" s="15">
        <v>3.5</v>
      </c>
      <c r="Y112" s="16">
        <f t="shared" si="71"/>
        <v>83.083000000000027</v>
      </c>
      <c r="Z112" s="69"/>
      <c r="AB112" s="10">
        <v>7</v>
      </c>
      <c r="AC112" s="68">
        <v>14</v>
      </c>
      <c r="AD112" s="42"/>
      <c r="AE112" s="15">
        <v>7.7</v>
      </c>
      <c r="AF112" s="15">
        <v>7.1</v>
      </c>
      <c r="AG112" s="15">
        <v>4</v>
      </c>
      <c r="AH112" s="16">
        <f t="shared" si="72"/>
        <v>113.71360000000001</v>
      </c>
      <c r="AI112" s="69"/>
      <c r="AK112" s="10">
        <v>7</v>
      </c>
      <c r="AL112" s="68">
        <v>14</v>
      </c>
      <c r="AM112" s="42"/>
      <c r="AN112" s="15">
        <v>6.5</v>
      </c>
      <c r="AO112" s="15">
        <v>5.6</v>
      </c>
      <c r="AP112" s="15">
        <v>5</v>
      </c>
      <c r="AQ112" s="16">
        <f t="shared" si="73"/>
        <v>94.64</v>
      </c>
      <c r="AR112" s="69"/>
      <c r="AT112" s="10">
        <v>7</v>
      </c>
      <c r="AU112" s="68">
        <v>14</v>
      </c>
      <c r="AV112" s="42"/>
      <c r="AW112" s="15">
        <v>9.3000000000000007</v>
      </c>
      <c r="AX112" s="15">
        <v>7.3</v>
      </c>
      <c r="AY112" s="15">
        <v>5.7</v>
      </c>
      <c r="AZ112" s="16">
        <f t="shared" si="74"/>
        <v>201.22596000000001</v>
      </c>
      <c r="BA112" s="69"/>
      <c r="BC112" s="10">
        <v>7</v>
      </c>
      <c r="BD112" s="68">
        <v>14</v>
      </c>
      <c r="BE112" s="42"/>
      <c r="BF112" s="15">
        <v>8</v>
      </c>
      <c r="BG112" s="15">
        <v>11.5</v>
      </c>
      <c r="BH112" s="15">
        <v>7.7</v>
      </c>
      <c r="BI112" s="16">
        <f t="shared" si="75"/>
        <v>368.36799999999999</v>
      </c>
      <c r="BJ112" s="69"/>
      <c r="BL112" s="10">
        <v>7</v>
      </c>
      <c r="BM112" s="68">
        <v>14</v>
      </c>
      <c r="BN112" s="42"/>
      <c r="BO112" s="15">
        <v>12.8</v>
      </c>
      <c r="BP112" s="15">
        <v>10.3</v>
      </c>
      <c r="BQ112" s="15">
        <v>7.8</v>
      </c>
      <c r="BR112" s="16">
        <f t="shared" si="76"/>
        <v>534.74304000000006</v>
      </c>
      <c r="BS112" s="69"/>
      <c r="BU112" s="10">
        <v>7</v>
      </c>
      <c r="BV112" s="68">
        <v>14</v>
      </c>
      <c r="BW112" s="42"/>
      <c r="BX112" s="15">
        <v>16</v>
      </c>
      <c r="BY112" s="15">
        <v>12.7</v>
      </c>
      <c r="BZ112" s="15">
        <v>8</v>
      </c>
      <c r="CA112" s="16">
        <f t="shared" ref="CA112:CA114" si="81">BX112*BY112*BZ112*0.52</f>
        <v>845.31200000000001</v>
      </c>
      <c r="CB112" s="69"/>
      <c r="CD112" s="10">
        <v>7</v>
      </c>
      <c r="CE112" s="68">
        <v>14</v>
      </c>
      <c r="CF112" s="42"/>
      <c r="CG112" s="15">
        <v>21</v>
      </c>
      <c r="CH112" s="15">
        <v>17</v>
      </c>
      <c r="CI112" s="15">
        <v>10</v>
      </c>
      <c r="CJ112" s="16">
        <f t="shared" ref="CJ112:CJ114" si="82">CG112*CH112*CI112*0.52</f>
        <v>1856.4</v>
      </c>
      <c r="CK112" s="69"/>
      <c r="CM112" s="10">
        <v>7</v>
      </c>
      <c r="CN112" s="68">
        <v>14</v>
      </c>
      <c r="CO112" s="42"/>
      <c r="CP112" s="15">
        <v>27</v>
      </c>
      <c r="CQ112" s="15">
        <v>19.600000000000001</v>
      </c>
      <c r="CR112" s="15">
        <v>12</v>
      </c>
      <c r="CS112" s="82">
        <f t="shared" ref="CS112" si="83">CP112*CQ112*CR112*0.52</f>
        <v>3302.2080000000005</v>
      </c>
      <c r="CT112" s="69" t="s">
        <v>82</v>
      </c>
      <c r="CV112" s="10">
        <v>7</v>
      </c>
      <c r="CW112" s="68">
        <v>14</v>
      </c>
      <c r="CX112" s="42"/>
      <c r="CY112" s="85"/>
      <c r="CZ112" s="85"/>
      <c r="DA112" s="85"/>
      <c r="DB112" s="82"/>
      <c r="DC112" s="69" t="s">
        <v>82</v>
      </c>
      <c r="DE112" s="10">
        <v>7</v>
      </c>
      <c r="DF112" s="68">
        <v>14</v>
      </c>
      <c r="DG112" s="42"/>
      <c r="DH112" s="85"/>
      <c r="DI112" s="85"/>
      <c r="DJ112" s="85"/>
      <c r="DK112" s="82"/>
      <c r="DL112" s="69" t="s">
        <v>82</v>
      </c>
      <c r="DN112" s="10">
        <v>7</v>
      </c>
      <c r="DO112" s="68">
        <v>14</v>
      </c>
      <c r="DP112" s="42"/>
      <c r="DQ112" s="85"/>
      <c r="DR112" s="85"/>
      <c r="DS112" s="85"/>
      <c r="DT112" s="82"/>
      <c r="DU112" s="69" t="s">
        <v>82</v>
      </c>
      <c r="DX112">
        <v>41</v>
      </c>
    </row>
    <row r="113" spans="1:128" x14ac:dyDescent="0.25">
      <c r="A113" s="10">
        <v>8</v>
      </c>
      <c r="B113" s="68">
        <v>15</v>
      </c>
      <c r="C113" s="42"/>
      <c r="D113" s="15">
        <v>5</v>
      </c>
      <c r="E113" s="15">
        <v>5</v>
      </c>
      <c r="F113" s="15">
        <v>3.5</v>
      </c>
      <c r="G113" s="16">
        <f t="shared" si="69"/>
        <v>45.5</v>
      </c>
      <c r="H113" s="69"/>
      <c r="J113" s="10">
        <v>8</v>
      </c>
      <c r="K113" s="68">
        <v>15</v>
      </c>
      <c r="L113" s="42"/>
      <c r="M113" s="15">
        <v>6</v>
      </c>
      <c r="N113" s="15">
        <v>5</v>
      </c>
      <c r="O113" s="15">
        <v>2.5</v>
      </c>
      <c r="P113" s="16">
        <f t="shared" si="70"/>
        <v>39</v>
      </c>
      <c r="Q113" s="69"/>
      <c r="S113" s="10">
        <v>8</v>
      </c>
      <c r="T113" s="68">
        <v>15</v>
      </c>
      <c r="U113" s="42"/>
      <c r="V113" s="15">
        <v>8</v>
      </c>
      <c r="W113" s="15">
        <v>6.2</v>
      </c>
      <c r="X113" s="15">
        <v>3.5</v>
      </c>
      <c r="Y113" s="16">
        <f t="shared" si="71"/>
        <v>90.272000000000006</v>
      </c>
      <c r="Z113" s="69"/>
      <c r="AB113" s="10">
        <v>8</v>
      </c>
      <c r="AC113" s="68">
        <v>15</v>
      </c>
      <c r="AD113" s="42"/>
      <c r="AE113" s="15">
        <v>9.5</v>
      </c>
      <c r="AF113" s="15">
        <v>7.2</v>
      </c>
      <c r="AG113" s="15">
        <v>5.4</v>
      </c>
      <c r="AH113" s="16">
        <f t="shared" si="72"/>
        <v>192.06720000000004</v>
      </c>
      <c r="AI113" s="69"/>
      <c r="AK113" s="10">
        <v>8</v>
      </c>
      <c r="AL113" s="68">
        <v>15</v>
      </c>
      <c r="AM113" s="42"/>
      <c r="AN113" s="15">
        <v>11.5</v>
      </c>
      <c r="AO113" s="15">
        <v>8.3000000000000007</v>
      </c>
      <c r="AP113" s="15">
        <v>7.3</v>
      </c>
      <c r="AQ113" s="16">
        <f t="shared" si="73"/>
        <v>362.32819999999998</v>
      </c>
      <c r="AR113" s="69"/>
      <c r="AT113" s="10">
        <v>8</v>
      </c>
      <c r="AU113" s="68">
        <v>15</v>
      </c>
      <c r="AV113" s="42"/>
      <c r="AW113" s="15">
        <v>11.5</v>
      </c>
      <c r="AX113" s="15">
        <v>8.4</v>
      </c>
      <c r="AY113" s="15">
        <v>6.2</v>
      </c>
      <c r="AZ113" s="16">
        <f t="shared" si="74"/>
        <v>311.43840000000006</v>
      </c>
      <c r="BA113" s="69"/>
      <c r="BC113" s="10">
        <v>8</v>
      </c>
      <c r="BD113" s="68">
        <v>15</v>
      </c>
      <c r="BE113" s="42"/>
      <c r="BF113" s="15">
        <v>13</v>
      </c>
      <c r="BG113" s="15">
        <v>14</v>
      </c>
      <c r="BH113" s="15">
        <v>11</v>
      </c>
      <c r="BI113" s="16">
        <f t="shared" si="75"/>
        <v>1041.04</v>
      </c>
      <c r="BJ113" s="69"/>
      <c r="BL113" s="10">
        <v>8</v>
      </c>
      <c r="BM113" s="68">
        <v>15</v>
      </c>
      <c r="BN113" s="42"/>
      <c r="BO113" s="15">
        <v>16</v>
      </c>
      <c r="BP113" s="15">
        <v>15</v>
      </c>
      <c r="BQ113" s="15">
        <v>11</v>
      </c>
      <c r="BR113" s="16">
        <f t="shared" si="76"/>
        <v>1372.8</v>
      </c>
      <c r="BS113" s="69"/>
      <c r="BU113" s="10">
        <v>8</v>
      </c>
      <c r="BV113" s="68">
        <v>15</v>
      </c>
      <c r="BW113" s="42"/>
      <c r="BX113" s="15">
        <v>21</v>
      </c>
      <c r="BY113" s="15">
        <v>19</v>
      </c>
      <c r="BZ113" s="15">
        <v>12</v>
      </c>
      <c r="CA113" s="76">
        <f t="shared" si="81"/>
        <v>2489.7600000000002</v>
      </c>
      <c r="CB113" s="69" t="s">
        <v>74</v>
      </c>
      <c r="CD113" s="10">
        <v>8</v>
      </c>
      <c r="CE113" s="68">
        <v>15</v>
      </c>
      <c r="CF113" s="42"/>
      <c r="CG113" s="77"/>
      <c r="CH113" s="77"/>
      <c r="CI113" s="77"/>
      <c r="CJ113" s="76"/>
      <c r="CK113" s="69" t="s">
        <v>74</v>
      </c>
      <c r="CM113" s="10">
        <v>8</v>
      </c>
      <c r="CN113" s="68">
        <v>15</v>
      </c>
      <c r="CO113" s="42"/>
      <c r="CP113" s="77"/>
      <c r="CQ113" s="77"/>
      <c r="CR113" s="77"/>
      <c r="CS113" s="76"/>
      <c r="CT113" s="69" t="s">
        <v>74</v>
      </c>
      <c r="CV113" s="10">
        <v>8</v>
      </c>
      <c r="CW113" s="68">
        <v>15</v>
      </c>
      <c r="CX113" s="42"/>
      <c r="CY113" s="77"/>
      <c r="CZ113" s="77"/>
      <c r="DA113" s="77"/>
      <c r="DB113" s="76"/>
      <c r="DC113" s="69" t="s">
        <v>74</v>
      </c>
      <c r="DE113" s="10">
        <v>8</v>
      </c>
      <c r="DF113" s="68">
        <v>15</v>
      </c>
      <c r="DG113" s="42"/>
      <c r="DH113" s="77"/>
      <c r="DI113" s="77"/>
      <c r="DJ113" s="77"/>
      <c r="DK113" s="76"/>
      <c r="DL113" s="69" t="s">
        <v>74</v>
      </c>
      <c r="DN113" s="10">
        <v>8</v>
      </c>
      <c r="DO113" s="68">
        <v>15</v>
      </c>
      <c r="DP113" s="42"/>
      <c r="DQ113" s="77"/>
      <c r="DR113" s="77"/>
      <c r="DS113" s="77"/>
      <c r="DT113" s="76"/>
      <c r="DU113" s="69" t="s">
        <v>74</v>
      </c>
      <c r="DX113">
        <v>46</v>
      </c>
    </row>
    <row r="114" spans="1:128" x14ac:dyDescent="0.25">
      <c r="A114" s="10">
        <v>9</v>
      </c>
      <c r="B114" s="19" t="s">
        <v>8</v>
      </c>
      <c r="C114" s="42"/>
      <c r="D114" s="15">
        <v>4</v>
      </c>
      <c r="E114" s="15">
        <v>4</v>
      </c>
      <c r="F114" s="15">
        <v>3</v>
      </c>
      <c r="G114" s="16">
        <f t="shared" si="69"/>
        <v>24.96</v>
      </c>
      <c r="H114" s="69"/>
      <c r="J114" s="10">
        <v>9</v>
      </c>
      <c r="K114" s="19" t="s">
        <v>8</v>
      </c>
      <c r="L114" s="42"/>
      <c r="M114" s="15">
        <v>3</v>
      </c>
      <c r="N114" s="15">
        <v>3</v>
      </c>
      <c r="O114" s="15">
        <v>2</v>
      </c>
      <c r="P114" s="16">
        <f t="shared" si="70"/>
        <v>9.36</v>
      </c>
      <c r="Q114" s="69"/>
      <c r="S114" s="10">
        <v>9</v>
      </c>
      <c r="T114" s="19" t="s">
        <v>8</v>
      </c>
      <c r="U114" s="42"/>
      <c r="V114" s="15">
        <v>6</v>
      </c>
      <c r="W114" s="15">
        <v>5</v>
      </c>
      <c r="X114" s="15">
        <v>2</v>
      </c>
      <c r="Y114" s="16">
        <f t="shared" si="71"/>
        <v>31.200000000000003</v>
      </c>
      <c r="Z114" s="69"/>
      <c r="AB114" s="10">
        <v>9</v>
      </c>
      <c r="AC114" s="19" t="s">
        <v>8</v>
      </c>
      <c r="AD114" s="42"/>
      <c r="AE114" s="15">
        <v>5</v>
      </c>
      <c r="AF114" s="15">
        <v>5</v>
      </c>
      <c r="AG114" s="15">
        <v>3</v>
      </c>
      <c r="AH114" s="16">
        <f t="shared" si="72"/>
        <v>39</v>
      </c>
      <c r="AI114" s="69"/>
      <c r="AK114" s="10">
        <v>9</v>
      </c>
      <c r="AL114" s="19" t="s">
        <v>8</v>
      </c>
      <c r="AM114" s="42"/>
      <c r="AN114" s="15">
        <v>5</v>
      </c>
      <c r="AO114" s="15">
        <v>5</v>
      </c>
      <c r="AP114" s="15">
        <v>2</v>
      </c>
      <c r="AQ114" s="16">
        <f t="shared" si="73"/>
        <v>26</v>
      </c>
      <c r="AR114" s="69"/>
      <c r="AT114" s="10">
        <v>9</v>
      </c>
      <c r="AU114" s="19" t="s">
        <v>8</v>
      </c>
      <c r="AV114" s="42"/>
      <c r="AW114" s="15">
        <v>5</v>
      </c>
      <c r="AX114" s="15">
        <v>5</v>
      </c>
      <c r="AY114" s="15">
        <v>5</v>
      </c>
      <c r="AZ114" s="16">
        <f t="shared" si="74"/>
        <v>65</v>
      </c>
      <c r="BA114" s="69"/>
      <c r="BC114" s="10">
        <v>9</v>
      </c>
      <c r="BD114" s="19" t="s">
        <v>8</v>
      </c>
      <c r="BE114" s="42"/>
      <c r="BF114" s="15">
        <v>6.9</v>
      </c>
      <c r="BG114" s="15">
        <v>6.4</v>
      </c>
      <c r="BH114" s="15">
        <v>5</v>
      </c>
      <c r="BI114" s="16">
        <f t="shared" si="75"/>
        <v>114.81600000000002</v>
      </c>
      <c r="BJ114" s="69"/>
      <c r="BL114" s="10">
        <v>9</v>
      </c>
      <c r="BM114" s="19" t="s">
        <v>8</v>
      </c>
      <c r="BN114" s="42"/>
      <c r="BO114" s="15">
        <v>8</v>
      </c>
      <c r="BP114" s="15">
        <v>8</v>
      </c>
      <c r="BQ114" s="15">
        <v>5</v>
      </c>
      <c r="BR114" s="16">
        <f t="shared" si="76"/>
        <v>166.4</v>
      </c>
      <c r="BS114" s="69"/>
      <c r="BU114" s="10">
        <v>9</v>
      </c>
      <c r="BV114" s="19" t="s">
        <v>8</v>
      </c>
      <c r="BW114" s="42"/>
      <c r="BX114" s="15">
        <v>13.6</v>
      </c>
      <c r="BY114" s="15">
        <v>9.3000000000000007</v>
      </c>
      <c r="BZ114" s="15">
        <v>7.2</v>
      </c>
      <c r="CA114" s="16">
        <f t="shared" si="81"/>
        <v>473.54112000000003</v>
      </c>
      <c r="CB114" s="69"/>
      <c r="CD114" s="10">
        <v>9</v>
      </c>
      <c r="CE114" s="19" t="s">
        <v>8</v>
      </c>
      <c r="CF114" s="42"/>
      <c r="CG114" s="15">
        <v>10</v>
      </c>
      <c r="CH114" s="15">
        <v>10</v>
      </c>
      <c r="CI114" s="15">
        <v>6</v>
      </c>
      <c r="CJ114" s="16">
        <f t="shared" si="82"/>
        <v>312</v>
      </c>
      <c r="CK114" s="69"/>
      <c r="CM114" s="10">
        <v>9</v>
      </c>
      <c r="CN114" s="19" t="s">
        <v>8</v>
      </c>
      <c r="CO114" s="42"/>
      <c r="CP114" s="15">
        <v>11.3</v>
      </c>
      <c r="CQ114" s="15">
        <v>13</v>
      </c>
      <c r="CR114" s="15">
        <v>6.2</v>
      </c>
      <c r="CS114" s="16">
        <f t="shared" ref="CS114" si="84">CP114*CQ114*CR114*0.52</f>
        <v>473.60560000000004</v>
      </c>
      <c r="CT114" s="69"/>
      <c r="CV114" s="10">
        <v>9</v>
      </c>
      <c r="CW114" s="19" t="s">
        <v>8</v>
      </c>
      <c r="CX114" s="42"/>
      <c r="CY114" s="15">
        <v>18.399999999999999</v>
      </c>
      <c r="CZ114" s="15">
        <v>14.8</v>
      </c>
      <c r="DA114" s="15">
        <v>9.4</v>
      </c>
      <c r="DB114" s="16">
        <f t="shared" ref="DB114" si="85">CY114*CZ114*DA114*0.52</f>
        <v>1331.10016</v>
      </c>
      <c r="DC114" s="69"/>
      <c r="DE114" s="10">
        <v>9</v>
      </c>
      <c r="DF114" s="19" t="s">
        <v>8</v>
      </c>
      <c r="DG114" s="42"/>
      <c r="DH114" s="15">
        <v>24.2</v>
      </c>
      <c r="DI114" s="15">
        <v>21.5</v>
      </c>
      <c r="DJ114" s="15">
        <v>10.3</v>
      </c>
      <c r="DK114" s="76">
        <f t="shared" ref="DK114" si="86">DH114*DI114*DJ114*0.52</f>
        <v>2786.7268000000004</v>
      </c>
      <c r="DL114" s="69" t="s">
        <v>87</v>
      </c>
      <c r="DN114" s="10">
        <v>9</v>
      </c>
      <c r="DO114" s="19" t="s">
        <v>8</v>
      </c>
      <c r="DP114" s="42"/>
      <c r="DQ114" s="77"/>
      <c r="DR114" s="77"/>
      <c r="DS114" s="77"/>
      <c r="DT114" s="76"/>
      <c r="DU114" s="69" t="s">
        <v>87</v>
      </c>
      <c r="DX114">
        <v>52</v>
      </c>
    </row>
    <row r="115" spans="1:128" x14ac:dyDescent="0.25">
      <c r="A115" s="20" t="s">
        <v>9</v>
      </c>
      <c r="B115" s="20"/>
      <c r="C115" s="21"/>
      <c r="D115" s="22"/>
      <c r="E115" s="22"/>
      <c r="F115" s="22"/>
      <c r="G115" s="21">
        <f>AVERAGE(G106:G114)</f>
        <v>27.96444444444445</v>
      </c>
      <c r="H115" s="47"/>
      <c r="J115" s="20" t="s">
        <v>9</v>
      </c>
      <c r="K115" s="20"/>
      <c r="L115" s="21"/>
      <c r="M115" s="22"/>
      <c r="N115" s="22"/>
      <c r="O115" s="22"/>
      <c r="P115" s="21">
        <f>AVERAGE(P106:P114)</f>
        <v>32.237457777777784</v>
      </c>
      <c r="Q115" s="47"/>
      <c r="S115" s="20" t="s">
        <v>9</v>
      </c>
      <c r="T115" s="20"/>
      <c r="U115" s="21"/>
      <c r="V115" s="22"/>
      <c r="W115" s="22"/>
      <c r="X115" s="22"/>
      <c r="Y115" s="21">
        <f>AVERAGE(Y106:Y114)</f>
        <v>66.580511111111122</v>
      </c>
      <c r="Z115" s="47"/>
      <c r="AB115" s="20" t="s">
        <v>9</v>
      </c>
      <c r="AC115" s="20"/>
      <c r="AD115" s="21"/>
      <c r="AE115" s="22"/>
      <c r="AF115" s="22"/>
      <c r="AG115" s="22"/>
      <c r="AH115" s="21">
        <f>AVERAGE(AH106:AH114)</f>
        <v>128.13689777777779</v>
      </c>
      <c r="AI115" s="47"/>
      <c r="AK115" s="20" t="s">
        <v>9</v>
      </c>
      <c r="AL115" s="20"/>
      <c r="AM115" s="21"/>
      <c r="AN115" s="22"/>
      <c r="AO115" s="22"/>
      <c r="AP115" s="22"/>
      <c r="AQ115" s="21">
        <f>AVERAGE(AQ106:AQ114)</f>
        <v>226.86675555555559</v>
      </c>
      <c r="AR115" s="47"/>
      <c r="AT115" s="20" t="s">
        <v>9</v>
      </c>
      <c r="AU115" s="20"/>
      <c r="AV115" s="21"/>
      <c r="AW115" s="22"/>
      <c r="AX115" s="22"/>
      <c r="AY115" s="22"/>
      <c r="AZ115" s="21">
        <f>AVERAGE(AZ106:AZ114)</f>
        <v>305.44736444444447</v>
      </c>
      <c r="BA115" s="47"/>
      <c r="BC115" s="20" t="s">
        <v>9</v>
      </c>
      <c r="BD115" s="20"/>
      <c r="BE115" s="21"/>
      <c r="BF115" s="22"/>
      <c r="BG115" s="22"/>
      <c r="BH115" s="22"/>
      <c r="BI115" s="21">
        <f>AVERAGE(BI106:BI114)</f>
        <v>693.91342222222238</v>
      </c>
      <c r="BJ115" s="47"/>
      <c r="BL115" s="20" t="s">
        <v>9</v>
      </c>
      <c r="BM115" s="20"/>
      <c r="BN115" s="21"/>
      <c r="BO115" s="22"/>
      <c r="BP115" s="22"/>
      <c r="BQ115" s="22"/>
      <c r="BR115" s="21">
        <f>AVERAGE(BR106:BR114)</f>
        <v>613.67163000000005</v>
      </c>
      <c r="BS115" s="47"/>
      <c r="BU115" s="20" t="s">
        <v>9</v>
      </c>
      <c r="BV115" s="20"/>
      <c r="BW115" s="21"/>
      <c r="BX115" s="22"/>
      <c r="BY115" s="22"/>
      <c r="BZ115" s="22"/>
      <c r="CA115" s="21">
        <f>AVERAGE(CA106:CA114)</f>
        <v>1162.7057</v>
      </c>
      <c r="CB115" s="47"/>
      <c r="CD115" s="20" t="s">
        <v>9</v>
      </c>
      <c r="CE115" s="20"/>
      <c r="CF115" s="21"/>
      <c r="CG115" s="22"/>
      <c r="CH115" s="22"/>
      <c r="CI115" s="22"/>
      <c r="CJ115" s="21">
        <f>AVERAGE(CJ106:CJ114)</f>
        <v>1893.6617142857144</v>
      </c>
      <c r="CK115" s="47"/>
      <c r="CM115" s="20" t="s">
        <v>9</v>
      </c>
      <c r="CN115" s="20"/>
      <c r="CO115" s="21"/>
      <c r="CP115" s="22"/>
      <c r="CQ115" s="22"/>
      <c r="CR115" s="22"/>
      <c r="CS115" s="21">
        <f>AVERAGE(CS106:CS114)</f>
        <v>1817.9434000000001</v>
      </c>
      <c r="CT115" s="47"/>
      <c r="CV115" s="20" t="s">
        <v>9</v>
      </c>
      <c r="CW115" s="20"/>
      <c r="CX115" s="21"/>
      <c r="CY115" s="22"/>
      <c r="CZ115" s="22"/>
      <c r="DA115" s="22"/>
      <c r="DB115" s="21">
        <f>AVERAGE(DB106:DB114)</f>
        <v>1764.88832</v>
      </c>
      <c r="DC115" s="47"/>
      <c r="DE115" s="20" t="s">
        <v>9</v>
      </c>
      <c r="DF115" s="20"/>
      <c r="DG115" s="21"/>
      <c r="DH115" s="22"/>
      <c r="DI115" s="22"/>
      <c r="DJ115" s="22"/>
      <c r="DK115" s="21">
        <f>AVERAGE(DK106:DK114)</f>
        <v>2786.7268000000004</v>
      </c>
      <c r="DL115" s="47"/>
      <c r="DN115" s="20" t="s">
        <v>9</v>
      </c>
      <c r="DO115" s="20"/>
      <c r="DP115" s="21"/>
      <c r="DQ115" s="22"/>
      <c r="DR115" s="22"/>
      <c r="DS115" s="22"/>
      <c r="DT115" s="21" t="e">
        <f>AVERAGE(DT106:DT114)</f>
        <v>#DIV/0!</v>
      </c>
      <c r="DU115" s="47"/>
    </row>
    <row r="116" spans="1:128" x14ac:dyDescent="0.25">
      <c r="A116" s="20" t="s">
        <v>10</v>
      </c>
      <c r="B116" s="20"/>
      <c r="C116" s="22"/>
      <c r="D116" s="22"/>
      <c r="E116" s="22"/>
      <c r="F116" s="22"/>
      <c r="G116" s="21">
        <f>AVEDEV(G106:G114)</f>
        <v>9.2316049382716034</v>
      </c>
      <c r="H116" s="47"/>
      <c r="J116" s="20" t="s">
        <v>10</v>
      </c>
      <c r="K116" s="20"/>
      <c r="L116" s="22"/>
      <c r="M116" s="22"/>
      <c r="N116" s="22"/>
      <c r="O116" s="22"/>
      <c r="P116" s="21">
        <f>AVEDEV(P106:P114)</f>
        <v>10.0113224691358</v>
      </c>
      <c r="Q116" s="47"/>
      <c r="S116" s="20" t="s">
        <v>10</v>
      </c>
      <c r="T116" s="20"/>
      <c r="U116" s="22"/>
      <c r="V116" s="22"/>
      <c r="W116" s="22"/>
      <c r="X116" s="22"/>
      <c r="Y116" s="21">
        <f>AVEDEV(Y106:Y114)</f>
        <v>15.801605925925932</v>
      </c>
      <c r="Z116" s="47"/>
      <c r="AB116" s="20" t="s">
        <v>10</v>
      </c>
      <c r="AC116" s="20"/>
      <c r="AD116" s="22"/>
      <c r="AE116" s="22"/>
      <c r="AF116" s="22"/>
      <c r="AG116" s="22"/>
      <c r="AH116" s="21">
        <f>AVEDEV(AH106:AH114)</f>
        <v>33.805135802469145</v>
      </c>
      <c r="AI116" s="47"/>
      <c r="AK116" s="20" t="s">
        <v>10</v>
      </c>
      <c r="AL116" s="20"/>
      <c r="AM116" s="22"/>
      <c r="AN116" s="22"/>
      <c r="AO116" s="22"/>
      <c r="AP116" s="22"/>
      <c r="AQ116" s="21">
        <f>AVEDEV(AQ106:AQ114)</f>
        <v>166.94754074074075</v>
      </c>
      <c r="AR116" s="47"/>
      <c r="AT116" s="20" t="s">
        <v>10</v>
      </c>
      <c r="AU116" s="20"/>
      <c r="AV116" s="22"/>
      <c r="AW116" s="22"/>
      <c r="AX116" s="22"/>
      <c r="AY116" s="22"/>
      <c r="AZ116" s="21">
        <f>AVEDEV(AZ106:AZ114)</f>
        <v>205.88806814814816</v>
      </c>
      <c r="BA116" s="47"/>
      <c r="BC116" s="20" t="s">
        <v>10</v>
      </c>
      <c r="BD116" s="20"/>
      <c r="BE116" s="22"/>
      <c r="BF116" s="22"/>
      <c r="BG116" s="22"/>
      <c r="BH116" s="22"/>
      <c r="BI116" s="21">
        <f>AVEDEV(BI106:BI114)</f>
        <v>484.56758518518535</v>
      </c>
      <c r="BJ116" s="47"/>
      <c r="BL116" s="20" t="s">
        <v>10</v>
      </c>
      <c r="BM116" s="20"/>
      <c r="BN116" s="22"/>
      <c r="BO116" s="22"/>
      <c r="BP116" s="22"/>
      <c r="BQ116" s="22"/>
      <c r="BR116" s="21">
        <f>AVEDEV(BR106:BR114)</f>
        <v>266.80377750000002</v>
      </c>
      <c r="BS116" s="47"/>
      <c r="BU116" s="20" t="s">
        <v>10</v>
      </c>
      <c r="BV116" s="20"/>
      <c r="BW116" s="22"/>
      <c r="BX116" s="22"/>
      <c r="BY116" s="22"/>
      <c r="BZ116" s="22"/>
      <c r="CA116" s="21">
        <f>AVEDEV(CA106:CA114)</f>
        <v>548.76672500000006</v>
      </c>
      <c r="CB116" s="47"/>
      <c r="CD116" s="20" t="s">
        <v>10</v>
      </c>
      <c r="CE116" s="20"/>
      <c r="CF116" s="22"/>
      <c r="CG116" s="22"/>
      <c r="CH116" s="22"/>
      <c r="CI116" s="22"/>
      <c r="CJ116" s="21">
        <f>AVEDEV(CJ106:CJ114)</f>
        <v>802.92881632653064</v>
      </c>
      <c r="CK116" s="47"/>
      <c r="CM116" s="20" t="s">
        <v>10</v>
      </c>
      <c r="CN116" s="20"/>
      <c r="CO116" s="22"/>
      <c r="CP116" s="22"/>
      <c r="CQ116" s="22"/>
      <c r="CR116" s="22"/>
      <c r="CS116" s="21">
        <f>AVEDEV(CS106:CS114)</f>
        <v>1124.8406000000002</v>
      </c>
      <c r="CT116" s="47"/>
      <c r="CV116" s="20" t="s">
        <v>10</v>
      </c>
      <c r="CW116" s="20"/>
      <c r="CX116" s="22"/>
      <c r="CY116" s="22"/>
      <c r="CZ116" s="22"/>
      <c r="DA116" s="22"/>
      <c r="DB116" s="21">
        <f>AVEDEV(DB106:DB114)</f>
        <v>433.78816000000006</v>
      </c>
      <c r="DC116" s="47"/>
      <c r="DE116" s="20" t="s">
        <v>10</v>
      </c>
      <c r="DF116" s="20"/>
      <c r="DG116" s="22"/>
      <c r="DH116" s="22"/>
      <c r="DI116" s="22"/>
      <c r="DJ116" s="22"/>
      <c r="DK116" s="21">
        <f>AVEDEV(DK106:DK114)</f>
        <v>0</v>
      </c>
      <c r="DL116" s="47"/>
      <c r="DN116" s="20" t="s">
        <v>10</v>
      </c>
      <c r="DO116" s="20"/>
      <c r="DP116" s="22"/>
      <c r="DQ116" s="22"/>
      <c r="DR116" s="22"/>
      <c r="DS116" s="22"/>
      <c r="DT116" s="21" t="e">
        <f>AVEDEV(DT106:DT114)</f>
        <v>#NUM!</v>
      </c>
      <c r="DU116" s="47"/>
    </row>
    <row r="119" spans="1:128" x14ac:dyDescent="0.25">
      <c r="A119" s="24" t="s">
        <v>20</v>
      </c>
      <c r="B119" s="24"/>
      <c r="G119" s="5" t="s">
        <v>17</v>
      </c>
      <c r="J119" s="24" t="s">
        <v>20</v>
      </c>
      <c r="K119" s="24"/>
      <c r="P119" s="5" t="s">
        <v>18</v>
      </c>
      <c r="S119" s="24" t="s">
        <v>20</v>
      </c>
      <c r="T119" s="24"/>
      <c r="Y119" s="5" t="s">
        <v>51</v>
      </c>
      <c r="AB119" s="24" t="s">
        <v>20</v>
      </c>
      <c r="AC119" s="24"/>
      <c r="AH119" s="5" t="s">
        <v>60</v>
      </c>
      <c r="AK119" s="24" t="s">
        <v>20</v>
      </c>
      <c r="AL119" s="24"/>
      <c r="AQ119" s="5" t="s">
        <v>62</v>
      </c>
      <c r="AT119" s="24" t="s">
        <v>20</v>
      </c>
      <c r="AU119" s="24"/>
      <c r="AZ119" s="5" t="s">
        <v>65</v>
      </c>
      <c r="BC119" s="24" t="s">
        <v>20</v>
      </c>
      <c r="BD119" s="24"/>
      <c r="BL119" s="24" t="s">
        <v>20</v>
      </c>
      <c r="BM119" s="24"/>
      <c r="BR119" s="5"/>
      <c r="BU119" s="24" t="s">
        <v>20</v>
      </c>
      <c r="BV119" s="24"/>
      <c r="CA119" s="5"/>
      <c r="CD119" s="24" t="s">
        <v>20</v>
      </c>
      <c r="CE119" s="24"/>
      <c r="CJ119" s="5"/>
      <c r="CM119" s="24" t="s">
        <v>20</v>
      </c>
      <c r="CN119" s="24"/>
      <c r="CS119" s="5"/>
      <c r="CV119" s="24" t="s">
        <v>20</v>
      </c>
      <c r="CW119" s="24"/>
      <c r="DB119" s="5"/>
      <c r="DE119" s="24" t="s">
        <v>20</v>
      </c>
      <c r="DF119" s="24"/>
      <c r="DK119" s="5"/>
      <c r="DN119" s="24" t="s">
        <v>20</v>
      </c>
      <c r="DO119" s="24"/>
      <c r="DT119" s="5"/>
    </row>
    <row r="120" spans="1:128" x14ac:dyDescent="0.25">
      <c r="A120" s="25"/>
      <c r="B120" s="25"/>
      <c r="G120" s="7" t="s">
        <v>23</v>
      </c>
      <c r="J120" s="25"/>
      <c r="K120" s="25"/>
      <c r="P120" s="7" t="s">
        <v>43</v>
      </c>
      <c r="S120" s="25"/>
      <c r="T120" s="25"/>
      <c r="Y120" s="7" t="s">
        <v>50</v>
      </c>
      <c r="AB120" s="25"/>
      <c r="AC120" s="25"/>
      <c r="AH120" s="7" t="s">
        <v>58</v>
      </c>
      <c r="AK120" s="25"/>
      <c r="AL120" s="25"/>
      <c r="AQ120" s="7" t="s">
        <v>63</v>
      </c>
      <c r="AT120" s="25"/>
      <c r="AU120" s="25"/>
      <c r="AZ120" s="7" t="s">
        <v>66</v>
      </c>
      <c r="BC120" s="25"/>
      <c r="BD120" s="25"/>
      <c r="BI120" s="7" t="s">
        <v>69</v>
      </c>
      <c r="BL120" s="25"/>
      <c r="BM120" s="25"/>
      <c r="BR120" s="7" t="s">
        <v>71</v>
      </c>
      <c r="BU120" s="25"/>
      <c r="BV120" s="25"/>
      <c r="CA120" s="7" t="s">
        <v>75</v>
      </c>
      <c r="CD120" s="25"/>
      <c r="CE120" s="25"/>
      <c r="CJ120" s="7" t="s">
        <v>77</v>
      </c>
      <c r="CM120" s="25"/>
      <c r="CN120" s="25"/>
      <c r="CS120" s="7" t="s">
        <v>81</v>
      </c>
      <c r="CV120" s="25"/>
      <c r="CW120" s="25"/>
      <c r="DB120" s="7" t="s">
        <v>84</v>
      </c>
      <c r="DE120" s="25"/>
      <c r="DF120" s="25"/>
      <c r="DK120" s="7" t="s">
        <v>86</v>
      </c>
      <c r="DN120" s="25"/>
      <c r="DO120" s="25"/>
      <c r="DT120" s="7" t="s">
        <v>88</v>
      </c>
    </row>
    <row r="121" spans="1:128" x14ac:dyDescent="0.25">
      <c r="A121" s="24" t="s">
        <v>30</v>
      </c>
      <c r="B121" s="24"/>
      <c r="J121" s="24" t="s">
        <v>30</v>
      </c>
      <c r="K121" s="24"/>
      <c r="S121" s="24" t="s">
        <v>30</v>
      </c>
      <c r="T121" s="24"/>
      <c r="AB121" s="24" t="s">
        <v>30</v>
      </c>
      <c r="AC121" s="24"/>
      <c r="AK121" s="24" t="s">
        <v>30</v>
      </c>
      <c r="AL121" s="24"/>
      <c r="AT121" s="24" t="s">
        <v>30</v>
      </c>
      <c r="AU121" s="24"/>
      <c r="BC121" s="24" t="s">
        <v>30</v>
      </c>
      <c r="BD121" s="24"/>
      <c r="BL121" s="24" t="s">
        <v>30</v>
      </c>
      <c r="BM121" s="24"/>
      <c r="BU121" s="24" t="s">
        <v>30</v>
      </c>
      <c r="BV121" s="24"/>
      <c r="CD121" s="24" t="s">
        <v>30</v>
      </c>
      <c r="CE121" s="24"/>
      <c r="CM121" s="24" t="s">
        <v>30</v>
      </c>
      <c r="CN121" s="24"/>
      <c r="CV121" s="24" t="s">
        <v>30</v>
      </c>
      <c r="CW121" s="24"/>
      <c r="DE121" s="24" t="s">
        <v>30</v>
      </c>
      <c r="DF121" s="24"/>
      <c r="DN121" s="24" t="s">
        <v>30</v>
      </c>
      <c r="DO121" s="24"/>
    </row>
    <row r="122" spans="1:128" x14ac:dyDescent="0.25">
      <c r="A122" s="25"/>
      <c r="B122" s="25"/>
      <c r="C122" s="9">
        <v>45810</v>
      </c>
      <c r="J122" s="25"/>
      <c r="K122" s="25"/>
      <c r="L122" s="9">
        <v>45813</v>
      </c>
      <c r="S122" s="25"/>
      <c r="T122" s="25"/>
      <c r="U122" s="9">
        <v>45816</v>
      </c>
      <c r="AB122" s="25"/>
      <c r="AC122" s="25"/>
      <c r="AD122" s="9">
        <v>45819</v>
      </c>
      <c r="AE122" s="9"/>
      <c r="AF122" s="9"/>
      <c r="AG122" s="9"/>
      <c r="AK122" s="25"/>
      <c r="AL122" s="25"/>
      <c r="AM122" s="9">
        <v>45822</v>
      </c>
      <c r="AT122" s="25"/>
      <c r="AU122" s="25"/>
      <c r="AV122" s="9">
        <v>45825</v>
      </c>
      <c r="BC122" s="25"/>
      <c r="BD122" s="25"/>
      <c r="BE122" s="9">
        <v>45828</v>
      </c>
      <c r="BF122" s="9"/>
      <c r="BG122" s="9"/>
      <c r="BH122" s="9"/>
      <c r="BL122" s="25"/>
      <c r="BM122" s="25"/>
      <c r="BN122" s="9">
        <v>45832</v>
      </c>
      <c r="BO122" s="9"/>
      <c r="BP122" s="9"/>
      <c r="BQ122" s="9"/>
      <c r="BU122" s="25"/>
      <c r="BV122" s="25"/>
      <c r="BW122" s="9">
        <v>45836</v>
      </c>
      <c r="CD122" s="25"/>
      <c r="CE122" s="25"/>
      <c r="CF122" s="9">
        <v>45839</v>
      </c>
      <c r="CM122" s="25"/>
      <c r="CN122" s="25"/>
      <c r="CO122" s="9">
        <v>45844</v>
      </c>
      <c r="CV122" s="25"/>
      <c r="CW122" s="25"/>
      <c r="CX122" s="9">
        <v>45849</v>
      </c>
      <c r="DE122" s="25"/>
      <c r="DF122" s="25"/>
      <c r="DG122" s="9">
        <v>45855</v>
      </c>
      <c r="DN122" s="25"/>
      <c r="DO122" s="25"/>
      <c r="DP122" s="9">
        <v>45859</v>
      </c>
    </row>
    <row r="123" spans="1:128" x14ac:dyDescent="0.25">
      <c r="A123" s="26"/>
      <c r="B123" s="26"/>
      <c r="C123" s="11"/>
      <c r="D123" s="11" t="s">
        <v>3</v>
      </c>
      <c r="E123" s="11" t="s">
        <v>4</v>
      </c>
      <c r="F123" s="11" t="s">
        <v>5</v>
      </c>
      <c r="G123" s="27" t="s">
        <v>6</v>
      </c>
      <c r="H123" s="28" t="s">
        <v>7</v>
      </c>
      <c r="J123" s="26"/>
      <c r="K123" s="26"/>
      <c r="L123" s="11"/>
      <c r="M123" s="11" t="s">
        <v>3</v>
      </c>
      <c r="N123" s="11" t="s">
        <v>4</v>
      </c>
      <c r="O123" s="11" t="s">
        <v>5</v>
      </c>
      <c r="P123" s="27" t="s">
        <v>6</v>
      </c>
      <c r="Q123" s="28" t="s">
        <v>7</v>
      </c>
      <c r="S123" s="26"/>
      <c r="T123" s="26"/>
      <c r="U123" s="11"/>
      <c r="V123" s="11" t="s">
        <v>3</v>
      </c>
      <c r="W123" s="11" t="s">
        <v>4</v>
      </c>
      <c r="X123" s="11" t="s">
        <v>5</v>
      </c>
      <c r="Y123" s="27" t="s">
        <v>6</v>
      </c>
      <c r="Z123" s="28" t="s">
        <v>7</v>
      </c>
      <c r="AB123" s="26"/>
      <c r="AC123" s="26"/>
      <c r="AD123" s="11"/>
      <c r="AE123" s="11" t="s">
        <v>3</v>
      </c>
      <c r="AF123" s="11" t="s">
        <v>4</v>
      </c>
      <c r="AG123" s="11" t="s">
        <v>5</v>
      </c>
      <c r="AH123" s="27" t="s">
        <v>6</v>
      </c>
      <c r="AI123" s="28" t="s">
        <v>7</v>
      </c>
      <c r="AK123" s="26"/>
      <c r="AL123" s="26"/>
      <c r="AM123" s="11"/>
      <c r="AN123" s="11" t="s">
        <v>3</v>
      </c>
      <c r="AO123" s="11" t="s">
        <v>4</v>
      </c>
      <c r="AP123" s="11" t="s">
        <v>5</v>
      </c>
      <c r="AQ123" s="27" t="s">
        <v>6</v>
      </c>
      <c r="AR123" s="28" t="s">
        <v>7</v>
      </c>
      <c r="AT123" s="26"/>
      <c r="AU123" s="26"/>
      <c r="AV123" s="11"/>
      <c r="AW123" s="11" t="s">
        <v>3</v>
      </c>
      <c r="AX123" s="11" t="s">
        <v>4</v>
      </c>
      <c r="AY123" s="11" t="s">
        <v>5</v>
      </c>
      <c r="AZ123" s="27" t="s">
        <v>6</v>
      </c>
      <c r="BA123" s="28" t="s">
        <v>7</v>
      </c>
      <c r="BC123" s="26"/>
      <c r="BD123" s="26"/>
      <c r="BE123" s="11"/>
      <c r="BF123" s="11" t="s">
        <v>3</v>
      </c>
      <c r="BG123" s="11" t="s">
        <v>4</v>
      </c>
      <c r="BH123" s="11" t="s">
        <v>5</v>
      </c>
      <c r="BI123" s="27" t="s">
        <v>6</v>
      </c>
      <c r="BJ123" s="28" t="s">
        <v>7</v>
      </c>
      <c r="BL123" s="26"/>
      <c r="BM123" s="26"/>
      <c r="BN123" s="11"/>
      <c r="BO123" s="11" t="s">
        <v>3</v>
      </c>
      <c r="BP123" s="11" t="s">
        <v>4</v>
      </c>
      <c r="BQ123" s="11" t="s">
        <v>5</v>
      </c>
      <c r="BR123" s="27" t="s">
        <v>6</v>
      </c>
      <c r="BS123" s="28"/>
      <c r="BU123" s="26"/>
      <c r="BV123" s="26"/>
      <c r="BW123" s="11"/>
      <c r="BX123" s="11" t="s">
        <v>3</v>
      </c>
      <c r="BY123" s="11" t="s">
        <v>4</v>
      </c>
      <c r="BZ123" s="11" t="s">
        <v>5</v>
      </c>
      <c r="CA123" s="27" t="s">
        <v>6</v>
      </c>
      <c r="CB123" s="28"/>
      <c r="CD123" s="26"/>
      <c r="CE123" s="26"/>
      <c r="CF123" s="11"/>
      <c r="CG123" s="11" t="s">
        <v>3</v>
      </c>
      <c r="CH123" s="11" t="s">
        <v>4</v>
      </c>
      <c r="CI123" s="11" t="s">
        <v>5</v>
      </c>
      <c r="CJ123" s="27" t="s">
        <v>6</v>
      </c>
      <c r="CK123" s="28"/>
      <c r="CM123" s="26"/>
      <c r="CN123" s="26"/>
      <c r="CO123" s="11"/>
      <c r="CP123" s="11" t="s">
        <v>3</v>
      </c>
      <c r="CQ123" s="11" t="s">
        <v>4</v>
      </c>
      <c r="CR123" s="11" t="s">
        <v>5</v>
      </c>
      <c r="CS123" s="27" t="s">
        <v>6</v>
      </c>
      <c r="CT123" s="28"/>
      <c r="CV123" s="26"/>
      <c r="CW123" s="26"/>
      <c r="CX123" s="11"/>
      <c r="CY123" s="11" t="s">
        <v>3</v>
      </c>
      <c r="CZ123" s="11" t="s">
        <v>4</v>
      </c>
      <c r="DA123" s="11" t="s">
        <v>5</v>
      </c>
      <c r="DB123" s="27" t="s">
        <v>6</v>
      </c>
      <c r="DC123" s="28"/>
      <c r="DE123" s="26"/>
      <c r="DF123" s="26"/>
      <c r="DG123" s="11"/>
      <c r="DH123" s="11" t="s">
        <v>3</v>
      </c>
      <c r="DI123" s="11" t="s">
        <v>4</v>
      </c>
      <c r="DJ123" s="11" t="s">
        <v>5</v>
      </c>
      <c r="DK123" s="27" t="s">
        <v>6</v>
      </c>
      <c r="DL123" s="28"/>
      <c r="DN123" s="26"/>
      <c r="DO123" s="26"/>
      <c r="DP123" s="11"/>
      <c r="DQ123" s="11" t="s">
        <v>3</v>
      </c>
      <c r="DR123" s="11" t="s">
        <v>4</v>
      </c>
      <c r="DS123" s="11" t="s">
        <v>5</v>
      </c>
      <c r="DT123" s="27" t="s">
        <v>6</v>
      </c>
      <c r="DU123" s="28"/>
    </row>
    <row r="124" spans="1:128" x14ac:dyDescent="0.25">
      <c r="A124" s="26">
        <v>1</v>
      </c>
      <c r="B124" s="26">
        <v>1</v>
      </c>
      <c r="C124" s="11"/>
      <c r="D124" s="18">
        <v>4</v>
      </c>
      <c r="E124" s="15">
        <v>3</v>
      </c>
      <c r="F124" s="15">
        <v>3</v>
      </c>
      <c r="G124" s="30">
        <f>D124*E124*F124*0.52</f>
        <v>18.72</v>
      </c>
      <c r="H124" s="30"/>
      <c r="J124" s="26">
        <v>1</v>
      </c>
      <c r="K124" s="26">
        <v>1</v>
      </c>
      <c r="L124" s="11"/>
      <c r="M124" s="18">
        <v>3</v>
      </c>
      <c r="N124" s="15">
        <v>3</v>
      </c>
      <c r="O124" s="15">
        <v>2</v>
      </c>
      <c r="P124" s="30">
        <f>M124*N124*O124*0.52</f>
        <v>9.36</v>
      </c>
      <c r="Q124" s="30"/>
      <c r="S124" s="26">
        <v>1</v>
      </c>
      <c r="T124" s="26">
        <v>1</v>
      </c>
      <c r="U124" s="11"/>
      <c r="V124" s="18">
        <v>7</v>
      </c>
      <c r="W124" s="15">
        <v>9</v>
      </c>
      <c r="X124" s="15">
        <v>2</v>
      </c>
      <c r="Y124" s="30">
        <f>V124*W124*X124*0.52</f>
        <v>65.52</v>
      </c>
      <c r="Z124" s="30"/>
      <c r="AB124" s="26">
        <v>1</v>
      </c>
      <c r="AC124" s="26">
        <v>1</v>
      </c>
      <c r="AD124" s="11"/>
      <c r="AE124" s="18">
        <v>7.1</v>
      </c>
      <c r="AF124" s="15">
        <v>7</v>
      </c>
      <c r="AG124" s="15">
        <v>2</v>
      </c>
      <c r="AH124" s="30">
        <f>AE124*AF124*AG124*0.52</f>
        <v>51.687999999999995</v>
      </c>
      <c r="AI124" s="30"/>
      <c r="AK124" s="26">
        <v>1</v>
      </c>
      <c r="AL124" s="26">
        <v>1</v>
      </c>
      <c r="AM124" s="11"/>
      <c r="AN124" s="18">
        <v>5</v>
      </c>
      <c r="AO124" s="15">
        <v>5</v>
      </c>
      <c r="AP124" s="15">
        <v>2</v>
      </c>
      <c r="AQ124" s="30">
        <f>AN124*AO124*AP124*0.52</f>
        <v>26</v>
      </c>
      <c r="AR124" s="30"/>
      <c r="AT124" s="26">
        <v>1</v>
      </c>
      <c r="AU124" s="26">
        <v>1</v>
      </c>
      <c r="AV124" s="11"/>
      <c r="AW124" s="18">
        <v>5</v>
      </c>
      <c r="AX124" s="15">
        <v>5</v>
      </c>
      <c r="AY124" s="15">
        <v>2</v>
      </c>
      <c r="AZ124" s="30">
        <f>AW124*AX124*AY124*0.52</f>
        <v>26</v>
      </c>
      <c r="BA124" s="30"/>
      <c r="BC124" s="26">
        <v>1</v>
      </c>
      <c r="BD124" s="26">
        <v>1</v>
      </c>
      <c r="BE124" s="11"/>
      <c r="BF124" s="18">
        <v>5</v>
      </c>
      <c r="BG124" s="15">
        <v>5</v>
      </c>
      <c r="BH124" s="15">
        <v>2</v>
      </c>
      <c r="BI124" s="30">
        <f>BF124*BG124*BH124*0.52</f>
        <v>26</v>
      </c>
      <c r="BJ124" s="30"/>
      <c r="BL124" s="26">
        <v>1</v>
      </c>
      <c r="BM124" s="26">
        <v>1</v>
      </c>
      <c r="BN124" s="11"/>
      <c r="BO124" s="18">
        <v>3</v>
      </c>
      <c r="BP124" s="15">
        <v>3</v>
      </c>
      <c r="BQ124" s="15">
        <v>3</v>
      </c>
      <c r="BR124" s="30">
        <f>BO124*BP124*BQ124*0.52</f>
        <v>14.040000000000001</v>
      </c>
      <c r="BS124" s="30"/>
      <c r="BU124" s="26">
        <v>1</v>
      </c>
      <c r="BV124" s="26">
        <v>1</v>
      </c>
      <c r="BW124" s="11"/>
      <c r="BX124" s="18" t="s">
        <v>49</v>
      </c>
      <c r="BY124" s="15"/>
      <c r="BZ124" s="15"/>
      <c r="CA124" s="75">
        <v>0</v>
      </c>
      <c r="CB124" s="30"/>
      <c r="CD124" s="26">
        <v>1</v>
      </c>
      <c r="CE124" s="26">
        <v>1</v>
      </c>
      <c r="CF124" s="11"/>
      <c r="CG124" s="18" t="s">
        <v>49</v>
      </c>
      <c r="CH124" s="15"/>
      <c r="CI124" s="15"/>
      <c r="CJ124" s="75">
        <v>0</v>
      </c>
      <c r="CK124" s="30"/>
      <c r="CM124" s="26">
        <v>1</v>
      </c>
      <c r="CN124" s="26">
        <v>1</v>
      </c>
      <c r="CO124" s="11"/>
      <c r="CP124" s="18">
        <v>0</v>
      </c>
      <c r="CQ124" s="15">
        <v>0</v>
      </c>
      <c r="CR124" s="15">
        <v>0</v>
      </c>
      <c r="CS124" s="30">
        <f>CP124*CQ124*CR124*0.52</f>
        <v>0</v>
      </c>
      <c r="CT124" s="30"/>
      <c r="CV124" s="26">
        <v>1</v>
      </c>
      <c r="CW124" s="26">
        <v>1</v>
      </c>
      <c r="CX124" s="11"/>
      <c r="CY124" s="18" t="s">
        <v>49</v>
      </c>
      <c r="CZ124" s="15"/>
      <c r="DA124" s="15"/>
      <c r="DB124" s="75">
        <v>0</v>
      </c>
      <c r="DC124" s="30"/>
      <c r="DE124" s="26">
        <v>1</v>
      </c>
      <c r="DF124" s="26">
        <v>1</v>
      </c>
      <c r="DG124" s="11"/>
      <c r="DH124" s="18" t="s">
        <v>49</v>
      </c>
      <c r="DI124" s="15"/>
      <c r="DJ124" s="15"/>
      <c r="DK124" s="75">
        <v>0</v>
      </c>
      <c r="DL124" s="30"/>
      <c r="DN124" s="26">
        <v>1</v>
      </c>
      <c r="DO124" s="26">
        <v>1</v>
      </c>
      <c r="DP124" s="11"/>
      <c r="DQ124" s="15" t="s">
        <v>49</v>
      </c>
      <c r="DR124" s="15"/>
      <c r="DS124" s="15"/>
      <c r="DT124" s="75">
        <v>0</v>
      </c>
      <c r="DU124" s="30"/>
      <c r="DX124">
        <v>36</v>
      </c>
    </row>
    <row r="125" spans="1:128" x14ac:dyDescent="0.25">
      <c r="A125" s="26">
        <v>2</v>
      </c>
      <c r="B125" s="26">
        <v>2</v>
      </c>
      <c r="C125" s="11"/>
      <c r="D125" s="15">
        <v>5</v>
      </c>
      <c r="E125" s="15">
        <v>5</v>
      </c>
      <c r="F125" s="15">
        <v>4</v>
      </c>
      <c r="G125" s="30">
        <f t="shared" ref="G125:G133" si="87">D125*E125*F125*0.52</f>
        <v>52</v>
      </c>
      <c r="H125" s="30"/>
      <c r="J125" s="26">
        <v>2</v>
      </c>
      <c r="K125" s="26">
        <v>2</v>
      </c>
      <c r="L125" s="11"/>
      <c r="M125" s="15">
        <v>5</v>
      </c>
      <c r="N125" s="15">
        <v>5.8</v>
      </c>
      <c r="O125" s="15">
        <v>3.4</v>
      </c>
      <c r="P125" s="30">
        <f t="shared" ref="P125:P133" si="88">M125*N125*O125*0.52</f>
        <v>51.271999999999998</v>
      </c>
      <c r="Q125" s="30"/>
      <c r="S125" s="26">
        <v>2</v>
      </c>
      <c r="T125" s="26">
        <v>2</v>
      </c>
      <c r="U125" s="11"/>
      <c r="V125" s="15">
        <v>8.6999999999999993</v>
      </c>
      <c r="W125" s="15">
        <v>7.6</v>
      </c>
      <c r="X125" s="15">
        <v>5.4</v>
      </c>
      <c r="Y125" s="30">
        <f t="shared" ref="Y125:Y133" si="89">V125*W125*X125*0.52</f>
        <v>185.66495999999998</v>
      </c>
      <c r="Z125" s="30"/>
      <c r="AB125" s="26">
        <v>2</v>
      </c>
      <c r="AC125" s="26">
        <v>2</v>
      </c>
      <c r="AD125" s="11"/>
      <c r="AE125" s="15">
        <v>8.9</v>
      </c>
      <c r="AF125" s="15">
        <v>7.3</v>
      </c>
      <c r="AG125" s="15">
        <v>5.5</v>
      </c>
      <c r="AH125" s="30">
        <f t="shared" ref="AH125:AH133" si="90">AE125*AF125*AG125*0.52</f>
        <v>185.8142</v>
      </c>
      <c r="AI125" s="30"/>
      <c r="AK125" s="26">
        <v>2</v>
      </c>
      <c r="AL125" s="26">
        <v>2</v>
      </c>
      <c r="AM125" s="11"/>
      <c r="AN125" s="15">
        <v>7</v>
      </c>
      <c r="AO125" s="15">
        <v>7</v>
      </c>
      <c r="AP125" s="15">
        <v>5</v>
      </c>
      <c r="AQ125" s="30">
        <f t="shared" ref="AQ125:AQ133" si="91">AN125*AO125*AP125*0.52</f>
        <v>127.4</v>
      </c>
      <c r="AR125" s="30"/>
      <c r="AT125" s="26">
        <v>2</v>
      </c>
      <c r="AU125" s="26">
        <v>2</v>
      </c>
      <c r="AV125" s="11"/>
      <c r="AW125" s="15">
        <v>8</v>
      </c>
      <c r="AX125" s="15">
        <v>6</v>
      </c>
      <c r="AY125" s="15">
        <v>4.2</v>
      </c>
      <c r="AZ125" s="30">
        <f t="shared" ref="AZ125:AZ133" si="92">AW125*AX125*AY125*0.52</f>
        <v>104.83200000000002</v>
      </c>
      <c r="BA125" s="30" t="s">
        <v>68</v>
      </c>
      <c r="BC125" s="26">
        <v>2</v>
      </c>
      <c r="BD125" s="26">
        <v>2</v>
      </c>
      <c r="BE125" s="11"/>
      <c r="BF125" s="15">
        <v>9.6999999999999993</v>
      </c>
      <c r="BG125" s="15">
        <v>7.1</v>
      </c>
      <c r="BH125" s="15">
        <v>5.6</v>
      </c>
      <c r="BI125" s="30">
        <f t="shared" ref="BI125:BI133" si="93">BF125*BG125*BH125*0.52</f>
        <v>200.54943999999995</v>
      </c>
      <c r="BJ125" s="30"/>
      <c r="BL125" s="26">
        <v>2</v>
      </c>
      <c r="BM125" s="26">
        <v>2</v>
      </c>
      <c r="BN125" s="11"/>
      <c r="BO125" s="15">
        <v>10</v>
      </c>
      <c r="BP125" s="15">
        <v>10</v>
      </c>
      <c r="BQ125" s="15">
        <v>6.9</v>
      </c>
      <c r="BR125" s="30">
        <f t="shared" ref="BR125:BR133" si="94">BO125*BP125*BQ125*0.52</f>
        <v>358.8</v>
      </c>
      <c r="BS125" s="30"/>
      <c r="BU125" s="26">
        <v>2</v>
      </c>
      <c r="BV125" s="26">
        <v>2</v>
      </c>
      <c r="BW125" s="11"/>
      <c r="BX125" s="15">
        <v>13</v>
      </c>
      <c r="BY125" s="15">
        <v>14</v>
      </c>
      <c r="BZ125" s="15">
        <v>8</v>
      </c>
      <c r="CA125" s="30">
        <f t="shared" ref="CA125:CA132" si="95">BX125*BY125*BZ125*0.52</f>
        <v>757.12</v>
      </c>
      <c r="CB125" s="30"/>
      <c r="CD125" s="26">
        <v>2</v>
      </c>
      <c r="CE125" s="26">
        <v>2</v>
      </c>
      <c r="CF125" s="11"/>
      <c r="CG125" s="15">
        <v>17</v>
      </c>
      <c r="CH125" s="15">
        <v>16</v>
      </c>
      <c r="CI125" s="15">
        <v>8</v>
      </c>
      <c r="CJ125" s="30">
        <f t="shared" ref="CJ125:CJ132" si="96">CG125*CH125*CI125*0.52</f>
        <v>1131.52</v>
      </c>
      <c r="CK125" s="30"/>
      <c r="CM125" s="26">
        <v>2</v>
      </c>
      <c r="CN125" s="26">
        <v>2</v>
      </c>
      <c r="CO125" s="11"/>
      <c r="CP125" s="15">
        <v>17</v>
      </c>
      <c r="CQ125" s="15">
        <v>17</v>
      </c>
      <c r="CR125" s="15">
        <v>6</v>
      </c>
      <c r="CS125" s="30">
        <f t="shared" ref="CS125:CS132" si="97">CP125*CQ125*CR125*0.52</f>
        <v>901.68000000000006</v>
      </c>
      <c r="CT125" s="30"/>
      <c r="CV125" s="26">
        <v>2</v>
      </c>
      <c r="CW125" s="26">
        <v>2</v>
      </c>
      <c r="CX125" s="11"/>
      <c r="CY125" s="15">
        <v>22.1</v>
      </c>
      <c r="CZ125" s="15">
        <v>22.8</v>
      </c>
      <c r="DA125" s="15">
        <v>8.9</v>
      </c>
      <c r="DB125" s="76">
        <f t="shared" ref="DB125:DB128" si="98">CY125*CZ125*DA125*0.52</f>
        <v>2331.9566400000008</v>
      </c>
      <c r="DC125" s="30" t="s">
        <v>85</v>
      </c>
      <c r="DE125" s="26">
        <v>2</v>
      </c>
      <c r="DF125" s="26">
        <v>2</v>
      </c>
      <c r="DG125" s="11"/>
      <c r="DH125" s="77"/>
      <c r="DI125" s="77"/>
      <c r="DJ125" s="77"/>
      <c r="DK125" s="76"/>
      <c r="DL125" s="30" t="s">
        <v>85</v>
      </c>
      <c r="DN125" s="26">
        <v>2</v>
      </c>
      <c r="DO125" s="26">
        <v>2</v>
      </c>
      <c r="DP125" s="11"/>
      <c r="DQ125" s="77"/>
      <c r="DR125" s="77"/>
      <c r="DS125" s="77"/>
      <c r="DT125" s="76"/>
      <c r="DU125" s="30" t="s">
        <v>85</v>
      </c>
      <c r="DX125">
        <v>36</v>
      </c>
    </row>
    <row r="126" spans="1:128" x14ac:dyDescent="0.25">
      <c r="A126" s="26">
        <v>3</v>
      </c>
      <c r="B126" s="26">
        <v>3</v>
      </c>
      <c r="C126" s="11"/>
      <c r="D126" s="18">
        <v>6</v>
      </c>
      <c r="E126" s="15">
        <v>3</v>
      </c>
      <c r="F126" s="15">
        <v>3</v>
      </c>
      <c r="G126" s="30">
        <f t="shared" si="87"/>
        <v>28.080000000000002</v>
      </c>
      <c r="H126" s="30"/>
      <c r="J126" s="26">
        <v>3</v>
      </c>
      <c r="K126" s="26">
        <v>3</v>
      </c>
      <c r="L126" s="11"/>
      <c r="M126" s="18">
        <v>5.7</v>
      </c>
      <c r="N126" s="15">
        <v>6</v>
      </c>
      <c r="O126" s="15">
        <v>2.5</v>
      </c>
      <c r="P126" s="30">
        <f t="shared" si="88"/>
        <v>44.46</v>
      </c>
      <c r="Q126" s="30"/>
      <c r="S126" s="26">
        <v>3</v>
      </c>
      <c r="T126" s="26">
        <v>3</v>
      </c>
      <c r="U126" s="11"/>
      <c r="V126" s="18">
        <v>6</v>
      </c>
      <c r="W126" s="15">
        <v>6</v>
      </c>
      <c r="X126" s="15">
        <v>4</v>
      </c>
      <c r="Y126" s="30">
        <f t="shared" si="89"/>
        <v>74.88</v>
      </c>
      <c r="Z126" s="30"/>
      <c r="AB126" s="26">
        <v>3</v>
      </c>
      <c r="AC126" s="26">
        <v>3</v>
      </c>
      <c r="AD126" s="11"/>
      <c r="AE126" s="18">
        <v>7</v>
      </c>
      <c r="AF126" s="15">
        <v>10</v>
      </c>
      <c r="AG126" s="15">
        <v>3</v>
      </c>
      <c r="AH126" s="30">
        <f t="shared" si="90"/>
        <v>109.2</v>
      </c>
      <c r="AI126" s="30"/>
      <c r="AK126" s="26">
        <v>3</v>
      </c>
      <c r="AL126" s="26">
        <v>3</v>
      </c>
      <c r="AM126" s="11"/>
      <c r="AN126" s="18">
        <v>6</v>
      </c>
      <c r="AO126" s="15">
        <v>6</v>
      </c>
      <c r="AP126" s="15">
        <v>3</v>
      </c>
      <c r="AQ126" s="30">
        <f t="shared" si="91"/>
        <v>56.160000000000004</v>
      </c>
      <c r="AR126" s="30"/>
      <c r="AT126" s="26">
        <v>3</v>
      </c>
      <c r="AU126" s="26">
        <v>3</v>
      </c>
      <c r="AV126" s="11"/>
      <c r="AW126" s="18">
        <v>7</v>
      </c>
      <c r="AX126" s="15">
        <v>7</v>
      </c>
      <c r="AY126" s="15">
        <v>3</v>
      </c>
      <c r="AZ126" s="30">
        <f t="shared" si="92"/>
        <v>76.44</v>
      </c>
      <c r="BA126" s="30"/>
      <c r="BC126" s="26">
        <v>3</v>
      </c>
      <c r="BD126" s="26">
        <v>3</v>
      </c>
      <c r="BE126" s="11"/>
      <c r="BF126" s="18">
        <v>5</v>
      </c>
      <c r="BG126" s="15">
        <v>5</v>
      </c>
      <c r="BH126" s="15">
        <v>2</v>
      </c>
      <c r="BI126" s="30">
        <f t="shared" si="93"/>
        <v>26</v>
      </c>
      <c r="BJ126" s="30"/>
      <c r="BL126" s="26">
        <v>3</v>
      </c>
      <c r="BM126" s="26">
        <v>3</v>
      </c>
      <c r="BN126" s="11"/>
      <c r="BO126" s="18">
        <v>5</v>
      </c>
      <c r="BP126" s="15">
        <v>5</v>
      </c>
      <c r="BQ126" s="15">
        <v>2</v>
      </c>
      <c r="BR126" s="30">
        <f t="shared" si="94"/>
        <v>26</v>
      </c>
      <c r="BS126" s="30"/>
      <c r="BU126" s="26">
        <v>3</v>
      </c>
      <c r="BV126" s="26">
        <v>3</v>
      </c>
      <c r="BW126" s="11"/>
      <c r="BX126" s="18" t="s">
        <v>49</v>
      </c>
      <c r="BY126" s="15"/>
      <c r="BZ126" s="15"/>
      <c r="CA126" s="75">
        <v>0</v>
      </c>
      <c r="CB126" s="30"/>
      <c r="CD126" s="26">
        <v>3</v>
      </c>
      <c r="CE126" s="26">
        <v>3</v>
      </c>
      <c r="CF126" s="11"/>
      <c r="CG126" s="18" t="s">
        <v>49</v>
      </c>
      <c r="CH126" s="15"/>
      <c r="CI126" s="15"/>
      <c r="CJ126" s="75">
        <v>0</v>
      </c>
      <c r="CK126" s="30"/>
      <c r="CM126" s="26">
        <v>3</v>
      </c>
      <c r="CN126" s="26">
        <v>3</v>
      </c>
      <c r="CO126" s="11"/>
      <c r="CP126" s="18" t="s">
        <v>49</v>
      </c>
      <c r="CQ126" s="15"/>
      <c r="CR126" s="15"/>
      <c r="CS126" s="75">
        <v>0</v>
      </c>
      <c r="CT126" s="30"/>
      <c r="CV126" s="26">
        <v>3</v>
      </c>
      <c r="CW126" s="26">
        <v>3</v>
      </c>
      <c r="CX126" s="11"/>
      <c r="CY126" s="18" t="s">
        <v>49</v>
      </c>
      <c r="CZ126" s="15"/>
      <c r="DA126" s="15"/>
      <c r="DB126" s="75">
        <v>0</v>
      </c>
      <c r="DC126" s="30"/>
      <c r="DE126" s="26">
        <v>3</v>
      </c>
      <c r="DF126" s="26">
        <v>3</v>
      </c>
      <c r="DG126" s="11"/>
      <c r="DH126" s="18" t="s">
        <v>49</v>
      </c>
      <c r="DI126" s="15"/>
      <c r="DJ126" s="15"/>
      <c r="DK126" s="75">
        <v>0</v>
      </c>
      <c r="DL126" s="30"/>
      <c r="DN126" s="26">
        <v>3</v>
      </c>
      <c r="DO126" s="26">
        <v>3</v>
      </c>
      <c r="DP126" s="11"/>
      <c r="DQ126" s="15" t="s">
        <v>49</v>
      </c>
      <c r="DR126" s="15"/>
      <c r="DS126" s="15"/>
      <c r="DT126" s="75">
        <v>0</v>
      </c>
      <c r="DU126" s="30"/>
      <c r="DX126">
        <v>46</v>
      </c>
    </row>
    <row r="127" spans="1:128" x14ac:dyDescent="0.25">
      <c r="A127" s="26">
        <v>4</v>
      </c>
      <c r="B127" s="26">
        <v>4</v>
      </c>
      <c r="C127" s="11"/>
      <c r="D127" s="18">
        <v>5</v>
      </c>
      <c r="E127" s="15">
        <v>3</v>
      </c>
      <c r="F127" s="15">
        <v>3</v>
      </c>
      <c r="G127" s="30">
        <f t="shared" si="87"/>
        <v>23.400000000000002</v>
      </c>
      <c r="H127" s="30"/>
      <c r="J127" s="26">
        <v>4</v>
      </c>
      <c r="K127" s="26">
        <v>4</v>
      </c>
      <c r="L127" s="11"/>
      <c r="M127" s="18">
        <v>5</v>
      </c>
      <c r="N127" s="15">
        <v>5</v>
      </c>
      <c r="O127" s="15">
        <v>3</v>
      </c>
      <c r="P127" s="30">
        <f t="shared" si="88"/>
        <v>39</v>
      </c>
      <c r="Q127" s="30"/>
      <c r="S127" s="26">
        <v>4</v>
      </c>
      <c r="T127" s="26">
        <v>4</v>
      </c>
      <c r="U127" s="11"/>
      <c r="V127" s="18">
        <v>5</v>
      </c>
      <c r="W127" s="15">
        <v>5</v>
      </c>
      <c r="X127" s="15">
        <v>2</v>
      </c>
      <c r="Y127" s="30">
        <f t="shared" si="89"/>
        <v>26</v>
      </c>
      <c r="Z127" s="30" t="s">
        <v>57</v>
      </c>
      <c r="AB127" s="26">
        <v>4</v>
      </c>
      <c r="AC127" s="26">
        <v>4</v>
      </c>
      <c r="AD127" s="11"/>
      <c r="AE127" s="18">
        <v>5</v>
      </c>
      <c r="AF127" s="15">
        <v>5</v>
      </c>
      <c r="AG127" s="15">
        <v>2</v>
      </c>
      <c r="AH127" s="30">
        <f t="shared" si="90"/>
        <v>26</v>
      </c>
      <c r="AI127" s="30"/>
      <c r="AK127" s="26">
        <v>4</v>
      </c>
      <c r="AL127" s="26">
        <v>4</v>
      </c>
      <c r="AM127" s="11"/>
      <c r="AN127" s="18">
        <v>5</v>
      </c>
      <c r="AO127" s="15">
        <v>5</v>
      </c>
      <c r="AP127" s="15">
        <v>2</v>
      </c>
      <c r="AQ127" s="30">
        <f t="shared" si="91"/>
        <v>26</v>
      </c>
      <c r="AR127" s="30"/>
      <c r="AT127" s="26">
        <v>4</v>
      </c>
      <c r="AU127" s="26">
        <v>4</v>
      </c>
      <c r="AV127" s="11"/>
      <c r="AW127" s="18">
        <v>5</v>
      </c>
      <c r="AX127" s="15">
        <v>5</v>
      </c>
      <c r="AY127" s="15">
        <v>2</v>
      </c>
      <c r="AZ127" s="30">
        <f t="shared" si="92"/>
        <v>26</v>
      </c>
      <c r="BA127" s="30"/>
      <c r="BC127" s="26">
        <v>4</v>
      </c>
      <c r="BD127" s="26">
        <v>4</v>
      </c>
      <c r="BE127" s="11"/>
      <c r="BF127" s="18">
        <v>5</v>
      </c>
      <c r="BG127" s="15">
        <v>5</v>
      </c>
      <c r="BH127" s="15">
        <v>2</v>
      </c>
      <c r="BI127" s="30">
        <f t="shared" si="93"/>
        <v>26</v>
      </c>
      <c r="BJ127" s="30"/>
      <c r="BL127" s="26">
        <v>4</v>
      </c>
      <c r="BM127" s="26">
        <v>4</v>
      </c>
      <c r="BN127" s="11"/>
      <c r="BO127" s="18">
        <v>5</v>
      </c>
      <c r="BP127" s="15">
        <v>5</v>
      </c>
      <c r="BQ127" s="15">
        <v>2</v>
      </c>
      <c r="BR127" s="30">
        <f t="shared" si="94"/>
        <v>26</v>
      </c>
      <c r="BS127" s="30"/>
      <c r="BU127" s="26">
        <v>4</v>
      </c>
      <c r="BV127" s="26">
        <v>4</v>
      </c>
      <c r="BW127" s="11"/>
      <c r="BX127" s="18" t="s">
        <v>49</v>
      </c>
      <c r="BY127" s="15"/>
      <c r="BZ127" s="15"/>
      <c r="CA127" s="75">
        <v>0</v>
      </c>
      <c r="CB127" s="30"/>
      <c r="CD127" s="26">
        <v>4</v>
      </c>
      <c r="CE127" s="26">
        <v>4</v>
      </c>
      <c r="CF127" s="11"/>
      <c r="CG127" s="18" t="s">
        <v>49</v>
      </c>
      <c r="CH127" s="15"/>
      <c r="CI127" s="15"/>
      <c r="CJ127" s="75">
        <v>0</v>
      </c>
      <c r="CK127" s="30"/>
      <c r="CM127" s="26">
        <v>4</v>
      </c>
      <c r="CN127" s="26">
        <v>4</v>
      </c>
      <c r="CO127" s="11"/>
      <c r="CP127" s="18" t="s">
        <v>49</v>
      </c>
      <c r="CQ127" s="15"/>
      <c r="CR127" s="15"/>
      <c r="CS127" s="75">
        <v>0</v>
      </c>
      <c r="CT127" s="30"/>
      <c r="CV127" s="26">
        <v>4</v>
      </c>
      <c r="CW127" s="26">
        <v>4</v>
      </c>
      <c r="CX127" s="11"/>
      <c r="CY127" s="18" t="s">
        <v>49</v>
      </c>
      <c r="CZ127" s="15"/>
      <c r="DA127" s="15"/>
      <c r="DB127" s="75">
        <v>0</v>
      </c>
      <c r="DC127" s="30"/>
      <c r="DE127" s="26">
        <v>4</v>
      </c>
      <c r="DF127" s="26">
        <v>4</v>
      </c>
      <c r="DG127" s="11"/>
      <c r="DH127" s="18" t="s">
        <v>49</v>
      </c>
      <c r="DI127" s="15"/>
      <c r="DJ127" s="15"/>
      <c r="DK127" s="75">
        <v>0</v>
      </c>
      <c r="DL127" s="30"/>
      <c r="DN127" s="26">
        <v>4</v>
      </c>
      <c r="DO127" s="26">
        <v>4</v>
      </c>
      <c r="DP127" s="11"/>
      <c r="DQ127" s="15" t="s">
        <v>49</v>
      </c>
      <c r="DR127" s="15"/>
      <c r="DS127" s="15"/>
      <c r="DT127" s="75">
        <v>0</v>
      </c>
      <c r="DU127" s="30"/>
      <c r="DX127">
        <v>46</v>
      </c>
    </row>
    <row r="128" spans="1:128" x14ac:dyDescent="0.25">
      <c r="A128" s="26">
        <v>5</v>
      </c>
      <c r="B128" s="26">
        <v>5</v>
      </c>
      <c r="C128" s="11"/>
      <c r="D128" s="15">
        <v>3</v>
      </c>
      <c r="E128" s="15">
        <v>3</v>
      </c>
      <c r="F128" s="15">
        <v>3</v>
      </c>
      <c r="G128" s="30">
        <f t="shared" si="87"/>
        <v>14.040000000000001</v>
      </c>
      <c r="H128" s="30"/>
      <c r="J128" s="26">
        <v>5</v>
      </c>
      <c r="K128" s="26">
        <v>5</v>
      </c>
      <c r="L128" s="11"/>
      <c r="M128" s="15">
        <v>4</v>
      </c>
      <c r="N128" s="15">
        <v>4</v>
      </c>
      <c r="O128" s="15">
        <v>3</v>
      </c>
      <c r="P128" s="30">
        <f t="shared" si="88"/>
        <v>24.96</v>
      </c>
      <c r="Q128" s="30"/>
      <c r="S128" s="26">
        <v>5</v>
      </c>
      <c r="T128" s="26">
        <v>5</v>
      </c>
      <c r="U128" s="11"/>
      <c r="V128" s="15">
        <v>4</v>
      </c>
      <c r="W128" s="15">
        <v>4</v>
      </c>
      <c r="X128" s="15">
        <v>3</v>
      </c>
      <c r="Y128" s="30">
        <f t="shared" si="89"/>
        <v>24.96</v>
      </c>
      <c r="Z128" s="30"/>
      <c r="AB128" s="26">
        <v>5</v>
      </c>
      <c r="AC128" s="26">
        <v>5</v>
      </c>
      <c r="AD128" s="11"/>
      <c r="AE128" s="15">
        <v>6</v>
      </c>
      <c r="AF128" s="15">
        <v>6</v>
      </c>
      <c r="AG128" s="15">
        <v>3</v>
      </c>
      <c r="AH128" s="30">
        <f t="shared" si="90"/>
        <v>56.160000000000004</v>
      </c>
      <c r="AI128" s="30"/>
      <c r="AK128" s="26">
        <v>5</v>
      </c>
      <c r="AL128" s="26">
        <v>5</v>
      </c>
      <c r="AM128" s="11"/>
      <c r="AN128" s="15">
        <v>5</v>
      </c>
      <c r="AO128" s="15">
        <v>5</v>
      </c>
      <c r="AP128" s="15">
        <v>2</v>
      </c>
      <c r="AQ128" s="30">
        <f t="shared" si="91"/>
        <v>26</v>
      </c>
      <c r="AR128" s="30"/>
      <c r="AT128" s="26">
        <v>5</v>
      </c>
      <c r="AU128" s="26">
        <v>5</v>
      </c>
      <c r="AV128" s="11"/>
      <c r="AW128" s="15">
        <v>5</v>
      </c>
      <c r="AX128" s="15">
        <v>5</v>
      </c>
      <c r="AY128" s="15">
        <v>4</v>
      </c>
      <c r="AZ128" s="30">
        <f t="shared" si="92"/>
        <v>52</v>
      </c>
      <c r="BA128" s="30"/>
      <c r="BC128" s="26">
        <v>5</v>
      </c>
      <c r="BD128" s="26">
        <v>5</v>
      </c>
      <c r="BE128" s="11"/>
      <c r="BF128" s="15">
        <v>7.4</v>
      </c>
      <c r="BG128" s="15">
        <v>8.9</v>
      </c>
      <c r="BH128" s="15">
        <v>5.9</v>
      </c>
      <c r="BI128" s="30">
        <f t="shared" si="93"/>
        <v>202.05848</v>
      </c>
      <c r="BJ128" s="30"/>
      <c r="BL128" s="26">
        <v>5</v>
      </c>
      <c r="BM128" s="26">
        <v>5</v>
      </c>
      <c r="BN128" s="11"/>
      <c r="BO128" s="15">
        <v>8.5</v>
      </c>
      <c r="BP128" s="15">
        <v>9</v>
      </c>
      <c r="BQ128" s="15">
        <v>4.5</v>
      </c>
      <c r="BR128" s="30">
        <f t="shared" si="94"/>
        <v>179.01000000000002</v>
      </c>
      <c r="BS128" s="30"/>
      <c r="BU128" s="26">
        <v>5</v>
      </c>
      <c r="BV128" s="26">
        <v>5</v>
      </c>
      <c r="BW128" s="11"/>
      <c r="BX128" s="15">
        <v>10</v>
      </c>
      <c r="BY128" s="15">
        <v>10</v>
      </c>
      <c r="BZ128" s="15">
        <v>5</v>
      </c>
      <c r="CA128" s="30">
        <f t="shared" si="95"/>
        <v>260</v>
      </c>
      <c r="CB128" s="30"/>
      <c r="CD128" s="26">
        <v>5</v>
      </c>
      <c r="CE128" s="26">
        <v>5</v>
      </c>
      <c r="CF128" s="11"/>
      <c r="CG128" s="15">
        <v>15</v>
      </c>
      <c r="CH128" s="15">
        <v>13.2</v>
      </c>
      <c r="CI128" s="15">
        <v>7.4</v>
      </c>
      <c r="CJ128" s="30">
        <f t="shared" si="96"/>
        <v>761.904</v>
      </c>
      <c r="CK128" s="30"/>
      <c r="CM128" s="26">
        <v>5</v>
      </c>
      <c r="CN128" s="26">
        <v>5</v>
      </c>
      <c r="CO128" s="11"/>
      <c r="CP128" s="15">
        <v>20</v>
      </c>
      <c r="CQ128" s="15">
        <v>14.7</v>
      </c>
      <c r="CR128" s="15">
        <v>7.7</v>
      </c>
      <c r="CS128" s="30">
        <f t="shared" si="97"/>
        <v>1177.1760000000002</v>
      </c>
      <c r="CT128" s="30"/>
      <c r="CV128" s="26">
        <v>5</v>
      </c>
      <c r="CW128" s="26">
        <v>5</v>
      </c>
      <c r="CX128" s="11"/>
      <c r="CY128" s="15">
        <v>26.2</v>
      </c>
      <c r="CZ128" s="15">
        <v>18.8</v>
      </c>
      <c r="DA128" s="15">
        <v>10.6</v>
      </c>
      <c r="DB128" s="76">
        <f t="shared" si="98"/>
        <v>2714.9907199999998</v>
      </c>
      <c r="DC128" s="30" t="s">
        <v>85</v>
      </c>
      <c r="DE128" s="26">
        <v>5</v>
      </c>
      <c r="DF128" s="26">
        <v>5</v>
      </c>
      <c r="DG128" s="11"/>
      <c r="DH128" s="77"/>
      <c r="DI128" s="77"/>
      <c r="DJ128" s="77"/>
      <c r="DK128" s="76"/>
      <c r="DL128" s="30" t="s">
        <v>85</v>
      </c>
      <c r="DN128" s="26">
        <v>5</v>
      </c>
      <c r="DO128" s="26">
        <v>5</v>
      </c>
      <c r="DP128" s="11"/>
      <c r="DQ128" s="77"/>
      <c r="DR128" s="77"/>
      <c r="DS128" s="77"/>
      <c r="DT128" s="76"/>
      <c r="DU128" s="30" t="s">
        <v>85</v>
      </c>
      <c r="DX128">
        <v>46</v>
      </c>
    </row>
    <row r="129" spans="1:128" x14ac:dyDescent="0.25">
      <c r="A129" s="26">
        <v>6</v>
      </c>
      <c r="B129" s="26">
        <v>6</v>
      </c>
      <c r="C129" s="11"/>
      <c r="D129" s="18">
        <v>4</v>
      </c>
      <c r="E129" s="15">
        <v>4</v>
      </c>
      <c r="F129" s="15">
        <v>3</v>
      </c>
      <c r="G129" s="30">
        <f t="shared" si="87"/>
        <v>24.96</v>
      </c>
      <c r="H129" s="30"/>
      <c r="J129" s="26">
        <v>6</v>
      </c>
      <c r="K129" s="26">
        <v>6</v>
      </c>
      <c r="L129" s="11"/>
      <c r="M129" s="18">
        <v>3</v>
      </c>
      <c r="N129" s="15">
        <v>3</v>
      </c>
      <c r="O129" s="15">
        <v>2</v>
      </c>
      <c r="P129" s="30">
        <f t="shared" si="88"/>
        <v>9.36</v>
      </c>
      <c r="Q129" s="30"/>
      <c r="S129" s="26">
        <v>6</v>
      </c>
      <c r="T129" s="26">
        <v>6</v>
      </c>
      <c r="U129" s="11"/>
      <c r="V129" s="18">
        <v>8</v>
      </c>
      <c r="W129" s="15">
        <v>8</v>
      </c>
      <c r="X129" s="15">
        <v>3</v>
      </c>
      <c r="Y129" s="30">
        <f t="shared" si="89"/>
        <v>99.84</v>
      </c>
      <c r="Z129" s="30" t="s">
        <v>57</v>
      </c>
      <c r="AB129" s="26">
        <v>6</v>
      </c>
      <c r="AC129" s="26">
        <v>6</v>
      </c>
      <c r="AD129" s="11"/>
      <c r="AE129" s="18">
        <v>6</v>
      </c>
      <c r="AF129" s="15">
        <v>5.9</v>
      </c>
      <c r="AG129" s="15">
        <v>5</v>
      </c>
      <c r="AH129" s="30">
        <f t="shared" si="90"/>
        <v>92.04000000000002</v>
      </c>
      <c r="AI129" s="30"/>
      <c r="AK129" s="26">
        <v>6</v>
      </c>
      <c r="AL129" s="26">
        <v>6</v>
      </c>
      <c r="AM129" s="11"/>
      <c r="AN129" s="18">
        <v>6</v>
      </c>
      <c r="AO129" s="15">
        <v>6</v>
      </c>
      <c r="AP129" s="15">
        <v>5</v>
      </c>
      <c r="AQ129" s="30">
        <f t="shared" si="91"/>
        <v>93.600000000000009</v>
      </c>
      <c r="AR129" s="30"/>
      <c r="AT129" s="26">
        <v>6</v>
      </c>
      <c r="AU129" s="26">
        <v>6</v>
      </c>
      <c r="AV129" s="11"/>
      <c r="AW129" s="18">
        <v>6</v>
      </c>
      <c r="AX129" s="15">
        <v>6</v>
      </c>
      <c r="AY129" s="15">
        <v>3.5</v>
      </c>
      <c r="AZ129" s="30">
        <f t="shared" si="92"/>
        <v>65.52</v>
      </c>
      <c r="BA129" s="30"/>
      <c r="BC129" s="26">
        <v>6</v>
      </c>
      <c r="BD129" s="26">
        <v>6</v>
      </c>
      <c r="BE129" s="11"/>
      <c r="BF129" s="18">
        <v>8</v>
      </c>
      <c r="BG129" s="15">
        <v>8</v>
      </c>
      <c r="BH129" s="15">
        <v>5.7</v>
      </c>
      <c r="BI129" s="30">
        <f t="shared" si="93"/>
        <v>189.69600000000003</v>
      </c>
      <c r="BJ129" s="30"/>
      <c r="BL129" s="26">
        <v>6</v>
      </c>
      <c r="BM129" s="26">
        <v>6</v>
      </c>
      <c r="BN129" s="11"/>
      <c r="BO129" s="18">
        <v>10</v>
      </c>
      <c r="BP129" s="15">
        <v>8.5</v>
      </c>
      <c r="BQ129" s="15">
        <v>5.3</v>
      </c>
      <c r="BR129" s="30">
        <f t="shared" si="94"/>
        <v>234.26000000000002</v>
      </c>
      <c r="BS129" s="30"/>
      <c r="BU129" s="26">
        <v>6</v>
      </c>
      <c r="BV129" s="26">
        <v>6</v>
      </c>
      <c r="BW129" s="11"/>
      <c r="BX129" s="18">
        <v>17</v>
      </c>
      <c r="BY129" s="15">
        <v>14</v>
      </c>
      <c r="BZ129" s="15">
        <v>9</v>
      </c>
      <c r="CA129" s="30">
        <f t="shared" si="95"/>
        <v>1113.8400000000001</v>
      </c>
      <c r="CB129" s="30"/>
      <c r="CD129" s="26">
        <v>6</v>
      </c>
      <c r="CE129" s="26">
        <v>6</v>
      </c>
      <c r="CF129" s="11"/>
      <c r="CG129" s="18">
        <v>22</v>
      </c>
      <c r="CH129" s="15">
        <v>16</v>
      </c>
      <c r="CI129" s="15">
        <v>12</v>
      </c>
      <c r="CJ129" s="82">
        <f t="shared" si="96"/>
        <v>2196.48</v>
      </c>
      <c r="CK129" s="30" t="s">
        <v>78</v>
      </c>
      <c r="CM129" s="26">
        <v>6</v>
      </c>
      <c r="CN129" s="26">
        <v>6</v>
      </c>
      <c r="CO129" s="11"/>
      <c r="CP129" s="84"/>
      <c r="CQ129" s="83"/>
      <c r="CR129" s="83"/>
      <c r="CS129" s="82"/>
      <c r="CT129" s="30" t="s">
        <v>78</v>
      </c>
      <c r="CV129" s="26">
        <v>6</v>
      </c>
      <c r="CW129" s="26">
        <v>6</v>
      </c>
      <c r="CX129" s="11"/>
      <c r="CY129" s="84"/>
      <c r="CZ129" s="83"/>
      <c r="DA129" s="83"/>
      <c r="DB129" s="82"/>
      <c r="DC129" s="30" t="s">
        <v>78</v>
      </c>
      <c r="DE129" s="26">
        <v>6</v>
      </c>
      <c r="DF129" s="26">
        <v>6</v>
      </c>
      <c r="DG129" s="11"/>
      <c r="DH129" s="84"/>
      <c r="DI129" s="83"/>
      <c r="DJ129" s="83"/>
      <c r="DK129" s="82"/>
      <c r="DL129" s="30" t="s">
        <v>78</v>
      </c>
      <c r="DN129" s="26">
        <v>6</v>
      </c>
      <c r="DO129" s="26">
        <v>6</v>
      </c>
      <c r="DP129" s="11"/>
      <c r="DQ129" s="84"/>
      <c r="DR129" s="83"/>
      <c r="DS129" s="83"/>
      <c r="DT129" s="82"/>
      <c r="DU129" s="30" t="s">
        <v>78</v>
      </c>
      <c r="DX129" s="73"/>
    </row>
    <row r="130" spans="1:128" x14ac:dyDescent="0.25">
      <c r="A130" s="26">
        <v>7</v>
      </c>
      <c r="B130" s="35">
        <v>14</v>
      </c>
      <c r="C130" s="11"/>
      <c r="D130" s="15">
        <v>3</v>
      </c>
      <c r="E130" s="15">
        <v>3</v>
      </c>
      <c r="F130" s="15">
        <v>3</v>
      </c>
      <c r="G130" s="30">
        <f t="shared" si="87"/>
        <v>14.040000000000001</v>
      </c>
      <c r="H130" s="30"/>
      <c r="J130" s="26">
        <v>7</v>
      </c>
      <c r="K130" s="35">
        <v>14</v>
      </c>
      <c r="L130" s="11"/>
      <c r="M130" s="15">
        <v>7</v>
      </c>
      <c r="N130" s="15">
        <v>4</v>
      </c>
      <c r="O130" s="15">
        <v>2</v>
      </c>
      <c r="P130" s="30">
        <f t="shared" si="88"/>
        <v>29.12</v>
      </c>
      <c r="Q130" s="30"/>
      <c r="S130" s="26">
        <v>7</v>
      </c>
      <c r="T130" s="35">
        <v>14</v>
      </c>
      <c r="U130" s="11"/>
      <c r="V130" s="15">
        <v>4.5999999999999996</v>
      </c>
      <c r="W130" s="15">
        <v>6.7</v>
      </c>
      <c r="X130" s="15">
        <v>4.2</v>
      </c>
      <c r="Y130" s="30">
        <f t="shared" si="89"/>
        <v>67.310879999999997</v>
      </c>
      <c r="Z130" s="30"/>
      <c r="AB130" s="26">
        <v>7</v>
      </c>
      <c r="AC130" s="35">
        <v>14</v>
      </c>
      <c r="AD130" s="11"/>
      <c r="AE130" s="15">
        <v>6</v>
      </c>
      <c r="AF130" s="15">
        <v>6</v>
      </c>
      <c r="AG130" s="15">
        <v>4.5</v>
      </c>
      <c r="AH130" s="30">
        <f t="shared" si="90"/>
        <v>84.240000000000009</v>
      </c>
      <c r="AI130" s="30"/>
      <c r="AK130" s="26">
        <v>7</v>
      </c>
      <c r="AL130" s="35">
        <v>14</v>
      </c>
      <c r="AM130" s="11"/>
      <c r="AN130" s="15">
        <v>6.5</v>
      </c>
      <c r="AO130" s="15">
        <v>5.2</v>
      </c>
      <c r="AP130" s="15">
        <v>3.3</v>
      </c>
      <c r="AQ130" s="30">
        <f t="shared" si="91"/>
        <v>58.000800000000005</v>
      </c>
      <c r="AR130" s="30"/>
      <c r="AT130" s="26">
        <v>7</v>
      </c>
      <c r="AU130" s="35">
        <v>14</v>
      </c>
      <c r="AV130" s="11"/>
      <c r="AW130" s="15">
        <v>5</v>
      </c>
      <c r="AX130" s="15">
        <v>5</v>
      </c>
      <c r="AY130" s="15">
        <v>3</v>
      </c>
      <c r="AZ130" s="30">
        <f t="shared" si="92"/>
        <v>39</v>
      </c>
      <c r="BA130" s="30"/>
      <c r="BC130" s="26">
        <v>7</v>
      </c>
      <c r="BD130" s="35">
        <v>14</v>
      </c>
      <c r="BE130" s="11"/>
      <c r="BF130" s="15">
        <v>5</v>
      </c>
      <c r="BG130" s="15">
        <v>5</v>
      </c>
      <c r="BH130" s="15">
        <v>3</v>
      </c>
      <c r="BI130" s="30">
        <f t="shared" si="93"/>
        <v>39</v>
      </c>
      <c r="BJ130" s="30"/>
      <c r="BL130" s="26">
        <v>7</v>
      </c>
      <c r="BM130" s="35">
        <v>14</v>
      </c>
      <c r="BN130" s="11"/>
      <c r="BO130" s="15">
        <v>5</v>
      </c>
      <c r="BP130" s="15">
        <v>5</v>
      </c>
      <c r="BQ130" s="15">
        <v>4</v>
      </c>
      <c r="BR130" s="30">
        <f t="shared" si="94"/>
        <v>52</v>
      </c>
      <c r="BS130" s="30"/>
      <c r="BU130" s="26">
        <v>7</v>
      </c>
      <c r="BV130" s="35">
        <v>14</v>
      </c>
      <c r="BW130" s="11"/>
      <c r="BX130" s="15">
        <v>5</v>
      </c>
      <c r="BY130" s="15">
        <v>5</v>
      </c>
      <c r="BZ130" s="15">
        <v>2</v>
      </c>
      <c r="CA130" s="30">
        <f t="shared" si="95"/>
        <v>26</v>
      </c>
      <c r="CB130" s="30"/>
      <c r="CD130" s="26">
        <v>7</v>
      </c>
      <c r="CE130" s="35">
        <v>14</v>
      </c>
      <c r="CF130" s="11"/>
      <c r="CG130" s="15">
        <v>5</v>
      </c>
      <c r="CH130" s="15">
        <v>5</v>
      </c>
      <c r="CI130" s="15">
        <v>3</v>
      </c>
      <c r="CJ130" s="30">
        <f t="shared" si="96"/>
        <v>39</v>
      </c>
      <c r="CK130" s="30"/>
      <c r="CM130" s="26">
        <v>7</v>
      </c>
      <c r="CN130" s="35">
        <v>14</v>
      </c>
      <c r="CO130" s="11"/>
      <c r="CP130" s="15">
        <v>5</v>
      </c>
      <c r="CQ130" s="15">
        <v>5</v>
      </c>
      <c r="CR130" s="15">
        <v>4</v>
      </c>
      <c r="CS130" s="30">
        <f t="shared" si="97"/>
        <v>52</v>
      </c>
      <c r="CT130" s="30"/>
      <c r="CV130" s="26">
        <v>7</v>
      </c>
      <c r="CW130" s="35">
        <v>14</v>
      </c>
      <c r="CX130" s="11"/>
      <c r="CY130" s="15">
        <v>10</v>
      </c>
      <c r="CZ130" s="15">
        <v>7.9</v>
      </c>
      <c r="DA130" s="15">
        <v>4.0999999999999996</v>
      </c>
      <c r="DB130" s="30">
        <f t="shared" ref="DB130" si="99">CY130*CZ130*DA130*0.52</f>
        <v>168.428</v>
      </c>
      <c r="DC130" s="30"/>
      <c r="DE130" s="26">
        <v>7</v>
      </c>
      <c r="DF130" s="35">
        <v>14</v>
      </c>
      <c r="DG130" s="11"/>
      <c r="DH130" s="15">
        <v>14.2</v>
      </c>
      <c r="DI130" s="15">
        <v>15.1</v>
      </c>
      <c r="DJ130" s="15">
        <v>6.6</v>
      </c>
      <c r="DK130" s="30">
        <f t="shared" ref="DK130" si="100">DH130*DI130*DJ130*0.52</f>
        <v>735.88943999999992</v>
      </c>
      <c r="DL130" s="30"/>
      <c r="DN130" s="26">
        <v>7</v>
      </c>
      <c r="DO130" s="35">
        <v>14</v>
      </c>
      <c r="DP130" s="11"/>
      <c r="DQ130" s="15">
        <v>16.100000000000001</v>
      </c>
      <c r="DR130" s="15">
        <v>16.2</v>
      </c>
      <c r="DS130" s="15">
        <v>7.1</v>
      </c>
      <c r="DT130" s="30">
        <f t="shared" ref="DT130" si="101">DQ130*DR130*DS130*0.52</f>
        <v>962.94744000000003</v>
      </c>
      <c r="DU130" s="89"/>
      <c r="DX130" s="88"/>
    </row>
    <row r="131" spans="1:128" x14ac:dyDescent="0.25">
      <c r="A131" s="26">
        <v>8</v>
      </c>
      <c r="B131" s="35">
        <v>15</v>
      </c>
      <c r="C131" s="11"/>
      <c r="D131" s="15">
        <v>5</v>
      </c>
      <c r="E131" s="15">
        <v>5</v>
      </c>
      <c r="F131" s="15">
        <v>4</v>
      </c>
      <c r="G131" s="30">
        <f t="shared" si="87"/>
        <v>52</v>
      </c>
      <c r="H131" s="30"/>
      <c r="J131" s="26">
        <v>8</v>
      </c>
      <c r="K131" s="35">
        <v>15</v>
      </c>
      <c r="L131" s="11"/>
      <c r="M131" s="15">
        <v>4.5</v>
      </c>
      <c r="N131" s="15">
        <v>5</v>
      </c>
      <c r="O131" s="15">
        <v>3.5</v>
      </c>
      <c r="P131" s="30">
        <f t="shared" si="88"/>
        <v>40.950000000000003</v>
      </c>
      <c r="Q131" s="30"/>
      <c r="S131" s="26">
        <v>8</v>
      </c>
      <c r="T131" s="35">
        <v>15</v>
      </c>
      <c r="U131" s="11" t="s">
        <v>40</v>
      </c>
      <c r="V131" s="15">
        <v>4</v>
      </c>
      <c r="W131" s="15">
        <v>4</v>
      </c>
      <c r="X131" s="15">
        <v>3</v>
      </c>
      <c r="Y131" s="30">
        <f t="shared" si="89"/>
        <v>24.96</v>
      </c>
      <c r="Z131" s="30" t="s">
        <v>57</v>
      </c>
      <c r="AB131" s="26">
        <v>8</v>
      </c>
      <c r="AC131" s="36" t="s">
        <v>40</v>
      </c>
      <c r="AD131" s="11"/>
      <c r="AE131" s="15">
        <v>5</v>
      </c>
      <c r="AF131" s="15">
        <v>5</v>
      </c>
      <c r="AG131" s="15">
        <v>3</v>
      </c>
      <c r="AH131" s="30">
        <f t="shared" si="90"/>
        <v>39</v>
      </c>
      <c r="AI131" s="30"/>
      <c r="AK131" s="26">
        <v>8</v>
      </c>
      <c r="AL131" s="36" t="s">
        <v>40</v>
      </c>
      <c r="AM131" s="11"/>
      <c r="AN131" s="15">
        <v>6</v>
      </c>
      <c r="AO131" s="15">
        <v>6</v>
      </c>
      <c r="AP131" s="15">
        <v>2</v>
      </c>
      <c r="AQ131" s="30">
        <f t="shared" si="91"/>
        <v>37.44</v>
      </c>
      <c r="AR131" s="30"/>
      <c r="AT131" s="26">
        <v>8</v>
      </c>
      <c r="AU131" s="35" t="s">
        <v>40</v>
      </c>
      <c r="AV131" s="11"/>
      <c r="AW131" s="15">
        <v>7</v>
      </c>
      <c r="AX131" s="15">
        <v>7</v>
      </c>
      <c r="AY131" s="15">
        <v>3.5</v>
      </c>
      <c r="AZ131" s="30">
        <f t="shared" si="92"/>
        <v>89.18</v>
      </c>
      <c r="BA131" s="30"/>
      <c r="BC131" s="26">
        <v>8</v>
      </c>
      <c r="BD131" s="35" t="s">
        <v>40</v>
      </c>
      <c r="BE131" s="11"/>
      <c r="BF131" s="15">
        <v>10</v>
      </c>
      <c r="BG131" s="15">
        <v>10</v>
      </c>
      <c r="BH131" s="15">
        <v>5</v>
      </c>
      <c r="BI131" s="30">
        <f t="shared" si="93"/>
        <v>260</v>
      </c>
      <c r="BJ131" s="30"/>
      <c r="BL131" s="26">
        <v>8</v>
      </c>
      <c r="BM131" s="36" t="s">
        <v>40</v>
      </c>
      <c r="BN131" s="11"/>
      <c r="BO131" s="15">
        <v>14</v>
      </c>
      <c r="BP131" s="15">
        <v>13</v>
      </c>
      <c r="BQ131" s="15">
        <v>7</v>
      </c>
      <c r="BR131" s="30">
        <f t="shared" si="94"/>
        <v>662.48</v>
      </c>
      <c r="BS131" s="30"/>
      <c r="BU131" s="26">
        <v>8</v>
      </c>
      <c r="BV131" s="36" t="s">
        <v>40</v>
      </c>
      <c r="BW131" s="11"/>
      <c r="BX131" s="15">
        <v>17</v>
      </c>
      <c r="BY131" s="15">
        <v>14.5</v>
      </c>
      <c r="BZ131" s="15">
        <v>9</v>
      </c>
      <c r="CA131" s="30">
        <f t="shared" si="95"/>
        <v>1153.6200000000001</v>
      </c>
      <c r="CB131" s="30"/>
      <c r="CD131" s="26">
        <v>8</v>
      </c>
      <c r="CE131" s="36" t="s">
        <v>40</v>
      </c>
      <c r="CF131" s="11"/>
      <c r="CG131" s="15">
        <v>22</v>
      </c>
      <c r="CH131" s="15">
        <v>17.899999999999999</v>
      </c>
      <c r="CI131" s="15">
        <v>11.7</v>
      </c>
      <c r="CJ131" s="82">
        <f t="shared" si="96"/>
        <v>2395.8791999999994</v>
      </c>
      <c r="CK131" s="30" t="s">
        <v>78</v>
      </c>
      <c r="CM131" s="26">
        <v>8</v>
      </c>
      <c r="CN131" s="36" t="s">
        <v>40</v>
      </c>
      <c r="CO131" s="11"/>
      <c r="CP131" s="83"/>
      <c r="CQ131" s="83"/>
      <c r="CR131" s="83"/>
      <c r="CS131" s="82"/>
      <c r="CT131" s="30" t="s">
        <v>78</v>
      </c>
      <c r="CV131" s="26">
        <v>8</v>
      </c>
      <c r="CW131" s="36" t="s">
        <v>40</v>
      </c>
      <c r="CX131" s="11"/>
      <c r="CY131" s="83"/>
      <c r="CZ131" s="83"/>
      <c r="DA131" s="83"/>
      <c r="DB131" s="82"/>
      <c r="DC131" s="30" t="s">
        <v>78</v>
      </c>
      <c r="DE131" s="26">
        <v>8</v>
      </c>
      <c r="DF131" s="36" t="s">
        <v>40</v>
      </c>
      <c r="DG131" s="11"/>
      <c r="DH131" s="83"/>
      <c r="DI131" s="83"/>
      <c r="DJ131" s="83"/>
      <c r="DK131" s="82"/>
      <c r="DL131" s="30" t="s">
        <v>78</v>
      </c>
      <c r="DN131" s="26">
        <v>8</v>
      </c>
      <c r="DO131" s="36" t="s">
        <v>40</v>
      </c>
      <c r="DP131" s="11"/>
      <c r="DQ131" s="83"/>
      <c r="DR131" s="83"/>
      <c r="DS131" s="83"/>
      <c r="DT131" s="82"/>
      <c r="DU131" s="30" t="s">
        <v>78</v>
      </c>
      <c r="DX131" s="88"/>
    </row>
    <row r="132" spans="1:128" x14ac:dyDescent="0.25">
      <c r="A132" s="26">
        <v>9</v>
      </c>
      <c r="B132" s="35">
        <v>16</v>
      </c>
      <c r="C132" s="11"/>
      <c r="D132" s="15">
        <v>5</v>
      </c>
      <c r="E132" s="15">
        <v>5</v>
      </c>
      <c r="F132" s="15">
        <v>3</v>
      </c>
      <c r="G132" s="30">
        <f t="shared" si="87"/>
        <v>39</v>
      </c>
      <c r="H132" s="30"/>
      <c r="J132" s="26">
        <v>9</v>
      </c>
      <c r="K132" s="35">
        <v>16</v>
      </c>
      <c r="L132" s="11"/>
      <c r="M132" s="15">
        <v>5</v>
      </c>
      <c r="N132" s="15">
        <v>6</v>
      </c>
      <c r="O132" s="15">
        <v>3</v>
      </c>
      <c r="P132" s="30">
        <f t="shared" si="88"/>
        <v>46.800000000000004</v>
      </c>
      <c r="Q132" s="30"/>
      <c r="S132" s="26">
        <v>9</v>
      </c>
      <c r="T132" s="35">
        <v>16</v>
      </c>
      <c r="U132" s="11"/>
      <c r="V132" s="15">
        <v>9</v>
      </c>
      <c r="W132" s="15">
        <v>9</v>
      </c>
      <c r="X132" s="15">
        <v>2</v>
      </c>
      <c r="Y132" s="30">
        <f t="shared" si="89"/>
        <v>84.240000000000009</v>
      </c>
      <c r="Z132" s="30" t="s">
        <v>57</v>
      </c>
      <c r="AB132" s="26">
        <v>9</v>
      </c>
      <c r="AC132" s="35">
        <v>16</v>
      </c>
      <c r="AD132" s="11"/>
      <c r="AE132" s="15">
        <v>8</v>
      </c>
      <c r="AF132" s="15">
        <v>8</v>
      </c>
      <c r="AG132" s="15">
        <v>3</v>
      </c>
      <c r="AH132" s="30">
        <f t="shared" si="90"/>
        <v>99.84</v>
      </c>
      <c r="AI132" s="30"/>
      <c r="AK132" s="26">
        <v>9</v>
      </c>
      <c r="AL132" s="35">
        <v>16</v>
      </c>
      <c r="AM132" s="11"/>
      <c r="AN132" s="15">
        <v>5</v>
      </c>
      <c r="AO132" s="15">
        <v>5</v>
      </c>
      <c r="AP132" s="15">
        <v>2</v>
      </c>
      <c r="AQ132" s="30">
        <f t="shared" si="91"/>
        <v>26</v>
      </c>
      <c r="AR132" s="30"/>
      <c r="AT132" s="26">
        <v>9</v>
      </c>
      <c r="AU132" s="35">
        <v>16</v>
      </c>
      <c r="AV132" s="11"/>
      <c r="AW132" s="15">
        <v>5</v>
      </c>
      <c r="AX132" s="15">
        <v>5</v>
      </c>
      <c r="AY132" s="15">
        <v>2</v>
      </c>
      <c r="AZ132" s="30">
        <f t="shared" si="92"/>
        <v>26</v>
      </c>
      <c r="BA132" s="30"/>
      <c r="BC132" s="26">
        <v>9</v>
      </c>
      <c r="BD132" s="35">
        <v>16</v>
      </c>
      <c r="BE132" s="11"/>
      <c r="BF132" s="15">
        <v>4</v>
      </c>
      <c r="BG132" s="15">
        <v>4</v>
      </c>
      <c r="BH132" s="15">
        <v>5</v>
      </c>
      <c r="BI132" s="30">
        <f t="shared" si="93"/>
        <v>41.6</v>
      </c>
      <c r="BJ132" s="30"/>
      <c r="BL132" s="26">
        <v>9</v>
      </c>
      <c r="BM132" s="35">
        <v>16</v>
      </c>
      <c r="BN132" s="11"/>
      <c r="BO132" s="15">
        <v>6</v>
      </c>
      <c r="BP132" s="15">
        <v>6</v>
      </c>
      <c r="BQ132" s="15">
        <v>3</v>
      </c>
      <c r="BR132" s="30">
        <f t="shared" si="94"/>
        <v>56.160000000000004</v>
      </c>
      <c r="BS132" s="30"/>
      <c r="BU132" s="26">
        <v>9</v>
      </c>
      <c r="BV132" s="35">
        <v>16</v>
      </c>
      <c r="BW132" s="92"/>
      <c r="BX132" s="15">
        <v>10</v>
      </c>
      <c r="BY132" s="15">
        <v>10</v>
      </c>
      <c r="BZ132" s="15">
        <v>9</v>
      </c>
      <c r="CA132" s="30">
        <f t="shared" si="95"/>
        <v>468</v>
      </c>
      <c r="CB132" s="30"/>
      <c r="CD132" s="26">
        <v>9</v>
      </c>
      <c r="CE132" s="35">
        <v>16</v>
      </c>
      <c r="CF132" s="92"/>
      <c r="CG132" s="15">
        <v>15</v>
      </c>
      <c r="CH132" s="15">
        <v>16</v>
      </c>
      <c r="CI132" s="15">
        <v>9</v>
      </c>
      <c r="CJ132" s="30">
        <f t="shared" si="96"/>
        <v>1123.2</v>
      </c>
      <c r="CK132" s="30" t="s">
        <v>80</v>
      </c>
      <c r="CM132" s="26">
        <v>9</v>
      </c>
      <c r="CN132" s="35">
        <v>16</v>
      </c>
      <c r="CO132" s="11"/>
      <c r="CP132" s="15">
        <v>23</v>
      </c>
      <c r="CQ132" s="15">
        <v>19</v>
      </c>
      <c r="CR132" s="15">
        <v>8.6</v>
      </c>
      <c r="CS132" s="30">
        <f t="shared" si="97"/>
        <v>1954.2639999999999</v>
      </c>
      <c r="CT132" s="30"/>
      <c r="CV132" s="26">
        <v>9</v>
      </c>
      <c r="CW132" s="35">
        <v>16</v>
      </c>
      <c r="CX132" s="11"/>
      <c r="CY132" s="15">
        <v>27.1</v>
      </c>
      <c r="CZ132" s="15">
        <v>24</v>
      </c>
      <c r="DA132" s="15">
        <v>23.5</v>
      </c>
      <c r="DB132" s="76">
        <f t="shared" ref="DB132" si="102">CY132*CZ132*DA132*0.52</f>
        <v>7947.8880000000008</v>
      </c>
      <c r="DC132" s="30" t="s">
        <v>85</v>
      </c>
      <c r="DE132" s="26">
        <v>9</v>
      </c>
      <c r="DF132" s="35">
        <v>16</v>
      </c>
      <c r="DG132" s="11"/>
      <c r="DH132" s="77"/>
      <c r="DI132" s="77"/>
      <c r="DJ132" s="77"/>
      <c r="DK132" s="76"/>
      <c r="DL132" s="30" t="s">
        <v>85</v>
      </c>
      <c r="DN132" s="26">
        <v>9</v>
      </c>
      <c r="DO132" s="35">
        <v>16</v>
      </c>
      <c r="DP132" s="11"/>
      <c r="DQ132" s="77"/>
      <c r="DR132" s="77"/>
      <c r="DS132" s="77"/>
      <c r="DT132" s="76"/>
      <c r="DU132" s="30" t="s">
        <v>85</v>
      </c>
      <c r="DX132" s="88"/>
    </row>
    <row r="133" spans="1:128" x14ac:dyDescent="0.25">
      <c r="A133" s="26">
        <v>10</v>
      </c>
      <c r="B133" s="36" t="s">
        <v>8</v>
      </c>
      <c r="C133" s="11"/>
      <c r="D133" s="15">
        <v>3</v>
      </c>
      <c r="E133" s="15">
        <v>3</v>
      </c>
      <c r="F133" s="15">
        <v>3</v>
      </c>
      <c r="G133" s="30">
        <f t="shared" si="87"/>
        <v>14.040000000000001</v>
      </c>
      <c r="H133" s="30"/>
      <c r="J133" s="26">
        <v>10</v>
      </c>
      <c r="K133" s="36" t="s">
        <v>8</v>
      </c>
      <c r="L133" s="11"/>
      <c r="M133" s="15">
        <v>7</v>
      </c>
      <c r="N133" s="15">
        <v>7</v>
      </c>
      <c r="O133" s="15">
        <v>3</v>
      </c>
      <c r="P133" s="30">
        <f t="shared" si="88"/>
        <v>76.44</v>
      </c>
      <c r="Q133" s="30"/>
      <c r="S133" s="26">
        <v>10</v>
      </c>
      <c r="T133" s="36" t="s">
        <v>8</v>
      </c>
      <c r="U133" s="11"/>
      <c r="V133" s="15">
        <v>8.5</v>
      </c>
      <c r="W133" s="15">
        <v>8.5</v>
      </c>
      <c r="X133" s="15">
        <v>2</v>
      </c>
      <c r="Y133" s="30">
        <f t="shared" si="89"/>
        <v>75.14</v>
      </c>
      <c r="Z133" s="30" t="s">
        <v>57</v>
      </c>
      <c r="AB133" s="26">
        <v>10</v>
      </c>
      <c r="AC133" s="36" t="s">
        <v>8</v>
      </c>
      <c r="AD133" s="11"/>
      <c r="AE133" s="15">
        <v>6.7</v>
      </c>
      <c r="AF133" s="15">
        <v>8.8000000000000007</v>
      </c>
      <c r="AG133" s="15">
        <v>3</v>
      </c>
      <c r="AH133" s="30">
        <f t="shared" si="90"/>
        <v>91.97760000000001</v>
      </c>
      <c r="AI133" s="30"/>
      <c r="AK133" s="26">
        <v>10</v>
      </c>
      <c r="AL133" s="36" t="s">
        <v>8</v>
      </c>
      <c r="AM133" s="11"/>
      <c r="AN133" s="15">
        <v>5</v>
      </c>
      <c r="AO133" s="15">
        <v>5</v>
      </c>
      <c r="AP133" s="15">
        <v>2</v>
      </c>
      <c r="AQ133" s="30">
        <f t="shared" si="91"/>
        <v>26</v>
      </c>
      <c r="AR133" s="30"/>
      <c r="AT133" s="26">
        <v>10</v>
      </c>
      <c r="AU133" s="36" t="s">
        <v>8</v>
      </c>
      <c r="AV133" s="11"/>
      <c r="AW133" s="15">
        <v>5</v>
      </c>
      <c r="AX133" s="15">
        <v>5</v>
      </c>
      <c r="AY133" s="15">
        <v>2</v>
      </c>
      <c r="AZ133" s="30">
        <f t="shared" si="92"/>
        <v>26</v>
      </c>
      <c r="BA133" s="30"/>
      <c r="BC133" s="26">
        <v>10</v>
      </c>
      <c r="BD133" s="36" t="s">
        <v>8</v>
      </c>
      <c r="BE133" s="11"/>
      <c r="BF133" s="15">
        <v>5</v>
      </c>
      <c r="BG133" s="15">
        <v>5</v>
      </c>
      <c r="BH133" s="15">
        <v>2</v>
      </c>
      <c r="BI133" s="30">
        <f t="shared" si="93"/>
        <v>26</v>
      </c>
      <c r="BJ133" s="30"/>
      <c r="BL133" s="26">
        <v>10</v>
      </c>
      <c r="BM133" s="36" t="s">
        <v>8</v>
      </c>
      <c r="BN133" s="11"/>
      <c r="BO133" s="15">
        <v>3</v>
      </c>
      <c r="BP133" s="15">
        <v>3</v>
      </c>
      <c r="BQ133" s="15">
        <v>3</v>
      </c>
      <c r="BR133" s="30">
        <f t="shared" si="94"/>
        <v>14.040000000000001</v>
      </c>
      <c r="BS133" s="30"/>
      <c r="BU133" s="26">
        <v>10</v>
      </c>
      <c r="BV133" s="36" t="s">
        <v>8</v>
      </c>
      <c r="BW133" s="11"/>
      <c r="BX133" s="15" t="s">
        <v>49</v>
      </c>
      <c r="BY133" s="15"/>
      <c r="BZ133" s="15"/>
      <c r="CA133" s="75">
        <v>0</v>
      </c>
      <c r="CB133" s="30"/>
      <c r="CD133" s="26">
        <v>10</v>
      </c>
      <c r="CE133" s="36" t="s">
        <v>8</v>
      </c>
      <c r="CF133" s="11"/>
      <c r="CG133" s="15" t="s">
        <v>49</v>
      </c>
      <c r="CH133" s="15"/>
      <c r="CI133" s="15"/>
      <c r="CJ133" s="75">
        <v>0</v>
      </c>
      <c r="CK133" s="30"/>
      <c r="CM133" s="26">
        <v>10</v>
      </c>
      <c r="CN133" s="36" t="s">
        <v>8</v>
      </c>
      <c r="CO133" s="11"/>
      <c r="CP133" s="15" t="s">
        <v>49</v>
      </c>
      <c r="CQ133" s="15"/>
      <c r="CR133" s="15"/>
      <c r="CS133" s="75">
        <v>0</v>
      </c>
      <c r="CT133" s="30"/>
      <c r="CV133" s="26">
        <v>10</v>
      </c>
      <c r="CW133" s="36" t="s">
        <v>8</v>
      </c>
      <c r="CX133" s="11"/>
      <c r="CY133" s="18" t="s">
        <v>49</v>
      </c>
      <c r="CZ133" s="15"/>
      <c r="DA133" s="15"/>
      <c r="DB133" s="75">
        <v>0</v>
      </c>
      <c r="DC133" s="30"/>
      <c r="DE133" s="26">
        <v>10</v>
      </c>
      <c r="DF133" s="36" t="s">
        <v>8</v>
      </c>
      <c r="DG133" s="11"/>
      <c r="DH133" s="18" t="s">
        <v>49</v>
      </c>
      <c r="DI133" s="15"/>
      <c r="DJ133" s="15"/>
      <c r="DK133" s="75">
        <v>0</v>
      </c>
      <c r="DL133" s="30"/>
      <c r="DN133" s="26">
        <v>10</v>
      </c>
      <c r="DO133" s="36" t="s">
        <v>8</v>
      </c>
      <c r="DP133" s="11"/>
      <c r="DQ133" s="15" t="s">
        <v>49</v>
      </c>
      <c r="DR133" s="15"/>
      <c r="DS133" s="15"/>
      <c r="DT133" s="75">
        <v>0</v>
      </c>
      <c r="DU133" s="30"/>
      <c r="DX133" s="88"/>
    </row>
    <row r="134" spans="1:128" x14ac:dyDescent="0.25">
      <c r="A134" s="20" t="s">
        <v>9</v>
      </c>
      <c r="B134" s="20"/>
      <c r="C134" s="21"/>
      <c r="D134" s="22"/>
      <c r="E134" s="22"/>
      <c r="F134" s="22"/>
      <c r="G134" s="21">
        <f>AVERAGE(G124:G133)</f>
        <v>28.028000000000002</v>
      </c>
      <c r="H134" s="21"/>
      <c r="J134" s="20" t="s">
        <v>9</v>
      </c>
      <c r="K134" s="20"/>
      <c r="L134" s="21"/>
      <c r="M134" s="22"/>
      <c r="N134" s="22"/>
      <c r="O134" s="22"/>
      <c r="P134" s="21">
        <f>AVERAGE(P124:P133)</f>
        <v>37.172199999999997</v>
      </c>
      <c r="Q134" s="21"/>
      <c r="S134" s="20" t="s">
        <v>9</v>
      </c>
      <c r="T134" s="20"/>
      <c r="U134" s="21"/>
      <c r="V134" s="22"/>
      <c r="W134" s="22"/>
      <c r="X134" s="22"/>
      <c r="Y134" s="21">
        <f>AVERAGE(Y124:Y133)</f>
        <v>72.851584000000003</v>
      </c>
      <c r="Z134" s="21"/>
      <c r="AB134" s="20" t="s">
        <v>9</v>
      </c>
      <c r="AC134" s="20"/>
      <c r="AD134" s="21"/>
      <c r="AE134" s="22"/>
      <c r="AF134" s="22"/>
      <c r="AG134" s="22"/>
      <c r="AH134" s="21">
        <f>AVERAGE(AH124:AH133)</f>
        <v>83.595980000000012</v>
      </c>
      <c r="AI134" s="21"/>
      <c r="AK134" s="20" t="s">
        <v>9</v>
      </c>
      <c r="AL134" s="20"/>
      <c r="AM134" s="21"/>
      <c r="AN134" s="22"/>
      <c r="AO134" s="22"/>
      <c r="AP134" s="22"/>
      <c r="AQ134" s="21">
        <f>AVERAGE(AQ124:AQ133)</f>
        <v>50.260080000000002</v>
      </c>
      <c r="AR134" s="21"/>
      <c r="AT134" s="20" t="s">
        <v>9</v>
      </c>
      <c r="AU134" s="20"/>
      <c r="AV134" s="21"/>
      <c r="AW134" s="22"/>
      <c r="AX134" s="22"/>
      <c r="AY134" s="22"/>
      <c r="AZ134" s="21">
        <f>AVERAGE(AZ124:AZ133)</f>
        <v>53.097200000000001</v>
      </c>
      <c r="BA134" s="21"/>
      <c r="BC134" s="20" t="s">
        <v>9</v>
      </c>
      <c r="BD134" s="20"/>
      <c r="BE134" s="21"/>
      <c r="BF134" s="22"/>
      <c r="BG134" s="22"/>
      <c r="BH134" s="22"/>
      <c r="BI134" s="21">
        <f>AVERAGE(BI124:BI133)</f>
        <v>103.690392</v>
      </c>
      <c r="BJ134" s="21"/>
      <c r="BL134" s="20" t="s">
        <v>9</v>
      </c>
      <c r="BM134" s="20"/>
      <c r="BN134" s="21"/>
      <c r="BO134" s="22"/>
      <c r="BP134" s="22"/>
      <c r="BQ134" s="22"/>
      <c r="BR134" s="21">
        <f>AVERAGE(BR124:BR133)</f>
        <v>162.27900000000002</v>
      </c>
      <c r="BS134" s="21"/>
      <c r="BU134" s="20" t="s">
        <v>9</v>
      </c>
      <c r="BV134" s="20"/>
      <c r="BW134" s="21"/>
      <c r="BX134" s="22"/>
      <c r="BY134" s="22"/>
      <c r="BZ134" s="22"/>
      <c r="CA134" s="21">
        <f>AVERAGE(CA124:CA133)</f>
        <v>377.858</v>
      </c>
      <c r="CB134" s="21"/>
      <c r="CD134" s="20" t="s">
        <v>9</v>
      </c>
      <c r="CE134" s="20"/>
      <c r="CF134" s="21"/>
      <c r="CG134" s="22"/>
      <c r="CH134" s="22"/>
      <c r="CI134" s="22"/>
      <c r="CJ134" s="21">
        <f>AVERAGE(CJ124:CJ133)</f>
        <v>764.79831999999999</v>
      </c>
      <c r="CK134" s="21"/>
      <c r="CM134" s="20" t="s">
        <v>9</v>
      </c>
      <c r="CN134" s="20"/>
      <c r="CO134" s="21"/>
      <c r="CP134" s="22"/>
      <c r="CQ134" s="22"/>
      <c r="CR134" s="22"/>
      <c r="CS134" s="21">
        <f>AVERAGE(CS124:CS133)</f>
        <v>510.64</v>
      </c>
      <c r="CT134" s="21"/>
      <c r="CV134" s="20" t="s">
        <v>9</v>
      </c>
      <c r="CW134" s="20"/>
      <c r="CX134" s="21"/>
      <c r="CY134" s="22"/>
      <c r="CZ134" s="22"/>
      <c r="DA134" s="22"/>
      <c r="DB134" s="21">
        <f>AVERAGE(DB124:DB133)</f>
        <v>1645.4079200000001</v>
      </c>
      <c r="DC134" s="21"/>
      <c r="DE134" s="20" t="s">
        <v>9</v>
      </c>
      <c r="DF134" s="20"/>
      <c r="DG134" s="21"/>
      <c r="DH134" s="22"/>
      <c r="DI134" s="22"/>
      <c r="DJ134" s="22"/>
      <c r="DK134" s="21">
        <f>AVERAGE(DK124:DK133)</f>
        <v>147.177888</v>
      </c>
      <c r="DL134" s="21"/>
      <c r="DN134" s="20" t="s">
        <v>9</v>
      </c>
      <c r="DO134" s="20"/>
      <c r="DP134" s="21"/>
      <c r="DQ134" s="22"/>
      <c r="DR134" s="22"/>
      <c r="DS134" s="22"/>
      <c r="DT134" s="21">
        <f>AVERAGE(DT124:DT133)</f>
        <v>192.58948800000002</v>
      </c>
      <c r="DU134" s="21"/>
    </row>
    <row r="135" spans="1:128" x14ac:dyDescent="0.25">
      <c r="A135" s="20" t="s">
        <v>10</v>
      </c>
      <c r="B135" s="20"/>
      <c r="C135" s="22"/>
      <c r="D135" s="22"/>
      <c r="E135" s="22"/>
      <c r="F135" s="22"/>
      <c r="G135" s="21">
        <f>AVEDEV(G124:G133)</f>
        <v>11.7936</v>
      </c>
      <c r="H135" s="21"/>
      <c r="J135" s="20" t="s">
        <v>10</v>
      </c>
      <c r="K135" s="20"/>
      <c r="L135" s="22"/>
      <c r="M135" s="22"/>
      <c r="N135" s="22"/>
      <c r="O135" s="22"/>
      <c r="P135" s="21">
        <f>AVEDEV(P124:P133)</f>
        <v>15.177760000000001</v>
      </c>
      <c r="Q135" s="21"/>
      <c r="S135" s="20" t="s">
        <v>10</v>
      </c>
      <c r="T135" s="20"/>
      <c r="U135" s="22"/>
      <c r="V135" s="22"/>
      <c r="W135" s="22"/>
      <c r="X135" s="22"/>
      <c r="Y135" s="21">
        <f>AVEDEV(Y124:Y133)</f>
        <v>31.101407999999999</v>
      </c>
      <c r="Z135" s="21"/>
      <c r="AB135" s="20" t="s">
        <v>10</v>
      </c>
      <c r="AC135" s="20"/>
      <c r="AD135" s="22"/>
      <c r="AE135" s="22"/>
      <c r="AF135" s="22"/>
      <c r="AG135" s="22"/>
      <c r="AH135" s="21">
        <f>AVEDEV(AH124:AH133)</f>
        <v>32.307183999999999</v>
      </c>
      <c r="AI135" s="21"/>
      <c r="AK135" s="20" t="s">
        <v>10</v>
      </c>
      <c r="AL135" s="20"/>
      <c r="AM135" s="22"/>
      <c r="AN135" s="22"/>
      <c r="AO135" s="22"/>
      <c r="AP135" s="22"/>
      <c r="AQ135" s="21">
        <f>AVEDEV(AQ124:AQ133)</f>
        <v>26.824096000000008</v>
      </c>
      <c r="AR135" s="21"/>
      <c r="AT135" s="20" t="s">
        <v>10</v>
      </c>
      <c r="AU135" s="20"/>
      <c r="AV135" s="22"/>
      <c r="AW135" s="22"/>
      <c r="AX135" s="22"/>
      <c r="AY135" s="22"/>
      <c r="AZ135" s="21">
        <f>AVEDEV(AZ124:AZ133)</f>
        <v>24.716640000000002</v>
      </c>
      <c r="BA135" s="21"/>
      <c r="BC135" s="20" t="s">
        <v>10</v>
      </c>
      <c r="BD135" s="20"/>
      <c r="BE135" s="22"/>
      <c r="BF135" s="22"/>
      <c r="BG135" s="22"/>
      <c r="BH135" s="22"/>
      <c r="BI135" s="21">
        <f>AVEDEV(BI124:BI133)</f>
        <v>87.508470399999993</v>
      </c>
      <c r="BJ135" s="21"/>
      <c r="BL135" s="20" t="s">
        <v>10</v>
      </c>
      <c r="BM135" s="20"/>
      <c r="BN135" s="22"/>
      <c r="BO135" s="22"/>
      <c r="BP135" s="22"/>
      <c r="BQ135" s="22"/>
      <c r="BR135" s="21">
        <f>AVEDEV(BR124:BR133)</f>
        <v>157.08679999999998</v>
      </c>
      <c r="BS135" s="21"/>
      <c r="BU135" s="20" t="s">
        <v>10</v>
      </c>
      <c r="BV135" s="20"/>
      <c r="BW135" s="22"/>
      <c r="BX135" s="22"/>
      <c r="BY135" s="22"/>
      <c r="BZ135" s="22"/>
      <c r="CA135" s="21">
        <f>AVEDEV(CA124:CA133)</f>
        <v>396.22960000000006</v>
      </c>
      <c r="CB135" s="21"/>
      <c r="CD135" s="20" t="s">
        <v>10</v>
      </c>
      <c r="CE135" s="20"/>
      <c r="CF135" s="22"/>
      <c r="CG135" s="22"/>
      <c r="CH135" s="22"/>
      <c r="CI135" s="22"/>
      <c r="CJ135" s="21">
        <f>AVEDEV(CJ124:CJ133)</f>
        <v>757.57718399999999</v>
      </c>
      <c r="CK135" s="21"/>
      <c r="CM135" s="20" t="s">
        <v>10</v>
      </c>
      <c r="CN135" s="20"/>
      <c r="CO135" s="22"/>
      <c r="CP135" s="22"/>
      <c r="CQ135" s="22"/>
      <c r="CR135" s="22"/>
      <c r="CS135" s="21">
        <f>AVEDEV(CS124:CS133)</f>
        <v>625.30000000000007</v>
      </c>
      <c r="CT135" s="21"/>
      <c r="CV135" s="20" t="s">
        <v>10</v>
      </c>
      <c r="CW135" s="20"/>
      <c r="CX135" s="22"/>
      <c r="CY135" s="22"/>
      <c r="CZ135" s="22"/>
      <c r="DA135" s="22"/>
      <c r="DB135" s="21">
        <f>AVEDEV(DB124:DB133)</f>
        <v>2014.6529000000003</v>
      </c>
      <c r="DC135" s="21"/>
      <c r="DE135" s="20" t="s">
        <v>10</v>
      </c>
      <c r="DF135" s="20"/>
      <c r="DG135" s="22"/>
      <c r="DH135" s="22"/>
      <c r="DI135" s="22"/>
      <c r="DJ135" s="22"/>
      <c r="DK135" s="21">
        <f>AVEDEV(DK124:DK133)</f>
        <v>235.48462079999999</v>
      </c>
      <c r="DL135" s="21"/>
      <c r="DN135" s="20" t="s">
        <v>10</v>
      </c>
      <c r="DO135" s="20"/>
      <c r="DP135" s="22"/>
      <c r="DQ135" s="22"/>
      <c r="DR135" s="22"/>
      <c r="DS135" s="22"/>
      <c r="DT135" s="21">
        <f>AVEDEV(DT124:DT133)</f>
        <v>308.14318080000004</v>
      </c>
      <c r="DU135" s="21"/>
    </row>
    <row r="138" spans="1:128" x14ac:dyDescent="0.25">
      <c r="A138" s="37" t="s">
        <v>21</v>
      </c>
      <c r="B138" s="37"/>
      <c r="G138" s="5" t="s">
        <v>42</v>
      </c>
      <c r="J138" s="37" t="s">
        <v>21</v>
      </c>
      <c r="K138" s="37"/>
      <c r="P138" s="5" t="s">
        <v>44</v>
      </c>
      <c r="S138" s="37" t="s">
        <v>21</v>
      </c>
      <c r="T138" s="37"/>
      <c r="Y138" s="5" t="s">
        <v>53</v>
      </c>
      <c r="AB138" s="37" t="s">
        <v>21</v>
      </c>
      <c r="AC138" s="37"/>
      <c r="AH138" s="5"/>
      <c r="AK138" s="37" t="s">
        <v>21</v>
      </c>
      <c r="AL138" s="37"/>
      <c r="AQ138" s="5"/>
      <c r="AT138" s="37" t="s">
        <v>21</v>
      </c>
      <c r="AU138" s="37"/>
      <c r="AZ138" s="5"/>
      <c r="BC138" s="37" t="s">
        <v>21</v>
      </c>
      <c r="BD138" s="37"/>
      <c r="BL138" s="37" t="s">
        <v>21</v>
      </c>
      <c r="BM138" s="37"/>
      <c r="BR138" s="5"/>
      <c r="BU138" s="37" t="s">
        <v>21</v>
      </c>
      <c r="BV138" s="37"/>
      <c r="CA138" s="5"/>
      <c r="CD138" s="37" t="s">
        <v>21</v>
      </c>
      <c r="CE138" s="37"/>
      <c r="CJ138" s="5"/>
      <c r="CM138" s="37" t="s">
        <v>21</v>
      </c>
      <c r="CN138" s="37"/>
      <c r="CS138" s="5"/>
      <c r="CV138" s="37" t="s">
        <v>21</v>
      </c>
      <c r="CW138" s="37"/>
      <c r="DB138" s="5"/>
      <c r="DE138" s="37" t="s">
        <v>21</v>
      </c>
      <c r="DF138" s="37"/>
      <c r="DK138" s="5"/>
      <c r="DN138" s="37" t="s">
        <v>21</v>
      </c>
      <c r="DO138" s="37"/>
      <c r="DT138" s="5"/>
    </row>
    <row r="139" spans="1:128" x14ac:dyDescent="0.25">
      <c r="A139" s="38"/>
      <c r="B139" s="38"/>
      <c r="G139" s="7" t="s">
        <v>23</v>
      </c>
      <c r="J139" s="38"/>
      <c r="K139" s="38"/>
      <c r="P139" s="7" t="s">
        <v>43</v>
      </c>
      <c r="S139" s="38"/>
      <c r="T139" s="38"/>
      <c r="Y139" s="7" t="s">
        <v>50</v>
      </c>
      <c r="AB139" s="38"/>
      <c r="AC139" s="38"/>
      <c r="AH139" s="7" t="s">
        <v>58</v>
      </c>
      <c r="AK139" s="38"/>
      <c r="AL139" s="38"/>
      <c r="AQ139" s="7" t="s">
        <v>63</v>
      </c>
      <c r="AT139" s="38"/>
      <c r="AU139" s="38"/>
      <c r="AZ139" s="7" t="s">
        <v>66</v>
      </c>
      <c r="BC139" s="38"/>
      <c r="BD139" s="38"/>
      <c r="BI139" s="7" t="s">
        <v>69</v>
      </c>
      <c r="BL139" s="38"/>
      <c r="BM139" s="38"/>
      <c r="BR139" s="7" t="s">
        <v>71</v>
      </c>
      <c r="BU139" s="38"/>
      <c r="BV139" s="38"/>
      <c r="CA139" s="7" t="s">
        <v>75</v>
      </c>
      <c r="CD139" s="38"/>
      <c r="CE139" s="38"/>
      <c r="CJ139" s="7" t="s">
        <v>77</v>
      </c>
      <c r="CM139" s="38"/>
      <c r="CN139" s="38"/>
      <c r="CS139" s="7" t="s">
        <v>81</v>
      </c>
      <c r="CV139" s="38"/>
      <c r="CW139" s="38"/>
      <c r="DB139" s="7" t="s">
        <v>84</v>
      </c>
      <c r="DE139" s="38"/>
      <c r="DF139" s="38"/>
      <c r="DK139" s="7" t="s">
        <v>86</v>
      </c>
      <c r="DN139" s="38"/>
      <c r="DO139" s="38"/>
      <c r="DT139" s="7" t="s">
        <v>88</v>
      </c>
    </row>
    <row r="140" spans="1:128" x14ac:dyDescent="0.25">
      <c r="A140" s="37" t="s">
        <v>31</v>
      </c>
      <c r="B140" s="37"/>
      <c r="J140" s="37" t="s">
        <v>31</v>
      </c>
      <c r="K140" s="37"/>
      <c r="S140" s="37" t="s">
        <v>31</v>
      </c>
      <c r="T140" s="37"/>
      <c r="AB140" s="37" t="s">
        <v>31</v>
      </c>
      <c r="AC140" s="37"/>
      <c r="AK140" s="37" t="s">
        <v>31</v>
      </c>
      <c r="AL140" s="37"/>
      <c r="AT140" s="37" t="s">
        <v>31</v>
      </c>
      <c r="AU140" s="37"/>
      <c r="BC140" s="37" t="s">
        <v>31</v>
      </c>
      <c r="BD140" s="37"/>
      <c r="BL140" s="37" t="s">
        <v>31</v>
      </c>
      <c r="BM140" s="37"/>
      <c r="BU140" s="37" t="s">
        <v>31</v>
      </c>
      <c r="BV140" s="37"/>
      <c r="CD140" s="37" t="s">
        <v>31</v>
      </c>
      <c r="CE140" s="37"/>
      <c r="CM140" s="37" t="s">
        <v>31</v>
      </c>
      <c r="CN140" s="37"/>
      <c r="CV140" s="37" t="s">
        <v>31</v>
      </c>
      <c r="CW140" s="37"/>
      <c r="DE140" s="37" t="s">
        <v>31</v>
      </c>
      <c r="DF140" s="37"/>
      <c r="DN140" s="37" t="s">
        <v>31</v>
      </c>
      <c r="DO140" s="37"/>
    </row>
    <row r="141" spans="1:128" x14ac:dyDescent="0.25">
      <c r="A141" s="38"/>
      <c r="B141" s="38"/>
      <c r="C141" s="9">
        <v>45810</v>
      </c>
      <c r="J141" s="38"/>
      <c r="K141" s="38"/>
      <c r="L141" s="9">
        <v>45813</v>
      </c>
      <c r="S141" s="38"/>
      <c r="T141" s="38"/>
      <c r="U141" s="9">
        <v>45816</v>
      </c>
      <c r="AB141" s="38"/>
      <c r="AC141" s="38"/>
      <c r="AD141" s="9">
        <v>45819</v>
      </c>
      <c r="AE141" s="9"/>
      <c r="AF141" s="9"/>
      <c r="AG141" s="9"/>
      <c r="AK141" s="38"/>
      <c r="AL141" s="38"/>
      <c r="AM141" s="9">
        <v>45822</v>
      </c>
      <c r="AT141" s="38"/>
      <c r="AU141" s="38"/>
      <c r="AV141" s="9">
        <v>45825</v>
      </c>
      <c r="BC141" s="38"/>
      <c r="BD141" s="38"/>
      <c r="BE141" s="9">
        <v>45828</v>
      </c>
      <c r="BF141" s="9"/>
      <c r="BG141" s="9"/>
      <c r="BH141" s="9"/>
      <c r="BL141" s="38"/>
      <c r="BM141" s="38"/>
      <c r="BN141" s="9">
        <v>45832</v>
      </c>
      <c r="BO141" s="9"/>
      <c r="BP141" s="9"/>
      <c r="BQ141" s="9"/>
      <c r="BU141" s="38"/>
      <c r="BV141" s="38"/>
      <c r="BW141" s="9">
        <v>45836</v>
      </c>
      <c r="CD141" s="38"/>
      <c r="CE141" s="38"/>
      <c r="CF141" s="9">
        <v>45839</v>
      </c>
      <c r="CM141" s="38"/>
      <c r="CN141" s="38"/>
      <c r="CO141" s="9">
        <v>45844</v>
      </c>
      <c r="CV141" s="38"/>
      <c r="CW141" s="38"/>
      <c r="CX141" s="9">
        <v>45849</v>
      </c>
      <c r="DE141" s="38"/>
      <c r="DF141" s="38"/>
      <c r="DG141" s="9">
        <v>45855</v>
      </c>
      <c r="DN141" s="38"/>
      <c r="DO141" s="38"/>
      <c r="DP141" s="9">
        <v>45859</v>
      </c>
    </row>
    <row r="142" spans="1:128" x14ac:dyDescent="0.25">
      <c r="A142" s="39"/>
      <c r="B142" s="39"/>
      <c r="C142" s="11"/>
      <c r="D142" s="11" t="s">
        <v>3</v>
      </c>
      <c r="E142" s="11" t="s">
        <v>4</v>
      </c>
      <c r="F142" s="11" t="s">
        <v>5</v>
      </c>
      <c r="G142" s="40" t="s">
        <v>6</v>
      </c>
      <c r="H142" s="41" t="s">
        <v>7</v>
      </c>
      <c r="J142" s="39"/>
      <c r="K142" s="39"/>
      <c r="L142" s="11"/>
      <c r="M142" s="11" t="s">
        <v>3</v>
      </c>
      <c r="N142" s="11" t="s">
        <v>4</v>
      </c>
      <c r="O142" s="11" t="s">
        <v>5</v>
      </c>
      <c r="P142" s="40" t="s">
        <v>6</v>
      </c>
      <c r="Q142" s="41" t="s">
        <v>7</v>
      </c>
      <c r="S142" s="39"/>
      <c r="T142" s="39"/>
      <c r="U142" s="11"/>
      <c r="V142" s="11" t="s">
        <v>3</v>
      </c>
      <c r="W142" s="11" t="s">
        <v>4</v>
      </c>
      <c r="X142" s="11" t="s">
        <v>5</v>
      </c>
      <c r="Y142" s="40" t="s">
        <v>6</v>
      </c>
      <c r="Z142" s="41" t="s">
        <v>7</v>
      </c>
      <c r="AB142" s="39"/>
      <c r="AC142" s="39"/>
      <c r="AD142" s="11"/>
      <c r="AE142" s="11" t="s">
        <v>3</v>
      </c>
      <c r="AF142" s="11" t="s">
        <v>4</v>
      </c>
      <c r="AG142" s="11" t="s">
        <v>5</v>
      </c>
      <c r="AH142" s="40" t="s">
        <v>6</v>
      </c>
      <c r="AI142" s="41" t="s">
        <v>7</v>
      </c>
      <c r="AK142" s="39"/>
      <c r="AL142" s="39"/>
      <c r="AM142" s="11"/>
      <c r="AN142" s="11" t="s">
        <v>3</v>
      </c>
      <c r="AO142" s="11" t="s">
        <v>4</v>
      </c>
      <c r="AP142" s="11" t="s">
        <v>5</v>
      </c>
      <c r="AQ142" s="40" t="s">
        <v>6</v>
      </c>
      <c r="AR142" s="41" t="s">
        <v>7</v>
      </c>
      <c r="AT142" s="39"/>
      <c r="AU142" s="39"/>
      <c r="AV142" s="11"/>
      <c r="AW142" s="11" t="s">
        <v>3</v>
      </c>
      <c r="AX142" s="11" t="s">
        <v>4</v>
      </c>
      <c r="AY142" s="11" t="s">
        <v>5</v>
      </c>
      <c r="AZ142" s="40" t="s">
        <v>6</v>
      </c>
      <c r="BA142" s="41" t="s">
        <v>7</v>
      </c>
      <c r="BC142" s="39"/>
      <c r="BD142" s="39"/>
      <c r="BE142" s="11"/>
      <c r="BF142" s="11" t="s">
        <v>3</v>
      </c>
      <c r="BG142" s="11" t="s">
        <v>4</v>
      </c>
      <c r="BH142" s="11" t="s">
        <v>5</v>
      </c>
      <c r="BI142" s="40" t="s">
        <v>6</v>
      </c>
      <c r="BJ142" s="41" t="s">
        <v>7</v>
      </c>
      <c r="BL142" s="39"/>
      <c r="BM142" s="39"/>
      <c r="BN142" s="11"/>
      <c r="BO142" s="11" t="s">
        <v>3</v>
      </c>
      <c r="BP142" s="11" t="s">
        <v>4</v>
      </c>
      <c r="BQ142" s="11" t="s">
        <v>5</v>
      </c>
      <c r="BR142" s="40" t="s">
        <v>6</v>
      </c>
      <c r="BS142" s="41"/>
      <c r="BU142" s="39"/>
      <c r="BV142" s="39"/>
      <c r="BW142" s="11"/>
      <c r="BX142" s="11" t="s">
        <v>3</v>
      </c>
      <c r="BY142" s="11" t="s">
        <v>4</v>
      </c>
      <c r="BZ142" s="11" t="s">
        <v>5</v>
      </c>
      <c r="CA142" s="40" t="s">
        <v>6</v>
      </c>
      <c r="CB142" s="41"/>
      <c r="CD142" s="39"/>
      <c r="CE142" s="39"/>
      <c r="CF142" s="11"/>
      <c r="CG142" s="11" t="s">
        <v>3</v>
      </c>
      <c r="CH142" s="11" t="s">
        <v>4</v>
      </c>
      <c r="CI142" s="11" t="s">
        <v>5</v>
      </c>
      <c r="CJ142" s="40" t="s">
        <v>6</v>
      </c>
      <c r="CK142" s="41"/>
      <c r="CM142" s="39"/>
      <c r="CN142" s="39"/>
      <c r="CO142" s="11"/>
      <c r="CP142" s="11" t="s">
        <v>3</v>
      </c>
      <c r="CQ142" s="11" t="s">
        <v>4</v>
      </c>
      <c r="CR142" s="11" t="s">
        <v>5</v>
      </c>
      <c r="CS142" s="40" t="s">
        <v>6</v>
      </c>
      <c r="CT142" s="41"/>
      <c r="CV142" s="39"/>
      <c r="CW142" s="39"/>
      <c r="CX142" s="11"/>
      <c r="CY142" s="11" t="s">
        <v>3</v>
      </c>
      <c r="CZ142" s="11" t="s">
        <v>4</v>
      </c>
      <c r="DA142" s="11" t="s">
        <v>5</v>
      </c>
      <c r="DB142" s="40" t="s">
        <v>6</v>
      </c>
      <c r="DC142" s="41"/>
      <c r="DE142" s="39"/>
      <c r="DF142" s="39"/>
      <c r="DG142" s="11"/>
      <c r="DH142" s="11" t="s">
        <v>3</v>
      </c>
      <c r="DI142" s="11" t="s">
        <v>4</v>
      </c>
      <c r="DJ142" s="11" t="s">
        <v>5</v>
      </c>
      <c r="DK142" s="40" t="s">
        <v>6</v>
      </c>
      <c r="DL142" s="41"/>
      <c r="DN142" s="39"/>
      <c r="DO142" s="39"/>
      <c r="DP142" s="11"/>
      <c r="DQ142" s="11" t="s">
        <v>3</v>
      </c>
      <c r="DR142" s="11" t="s">
        <v>4</v>
      </c>
      <c r="DS142" s="11" t="s">
        <v>5</v>
      </c>
      <c r="DT142" s="40" t="s">
        <v>6</v>
      </c>
      <c r="DU142" s="41"/>
    </row>
    <row r="143" spans="1:128" x14ac:dyDescent="0.25">
      <c r="A143" s="39">
        <v>1</v>
      </c>
      <c r="B143" s="39">
        <v>1</v>
      </c>
      <c r="C143" s="11"/>
      <c r="D143" s="15">
        <v>5</v>
      </c>
      <c r="E143" s="15">
        <v>5</v>
      </c>
      <c r="F143" s="15">
        <v>3</v>
      </c>
      <c r="G143" s="43">
        <f>D143*E143*F143*0.52</f>
        <v>39</v>
      </c>
      <c r="H143" s="70"/>
      <c r="J143" s="39">
        <v>1</v>
      </c>
      <c r="K143" s="39">
        <v>1</v>
      </c>
      <c r="L143" s="11"/>
      <c r="M143" s="15">
        <v>5</v>
      </c>
      <c r="N143" s="15">
        <v>5</v>
      </c>
      <c r="O143" s="15">
        <v>3.5</v>
      </c>
      <c r="P143" s="43">
        <f>M143*N143*O143*0.52</f>
        <v>45.5</v>
      </c>
      <c r="Q143" s="70"/>
      <c r="S143" s="39">
        <v>1</v>
      </c>
      <c r="T143" s="39">
        <v>1</v>
      </c>
      <c r="U143" s="11"/>
      <c r="V143" s="15">
        <v>5.9</v>
      </c>
      <c r="W143" s="15">
        <v>8</v>
      </c>
      <c r="X143" s="15">
        <v>2</v>
      </c>
      <c r="Y143" s="43">
        <f>V143*W143*X143*0.52</f>
        <v>49.088000000000008</v>
      </c>
      <c r="Z143" s="70"/>
      <c r="AB143" s="39">
        <v>1</v>
      </c>
      <c r="AC143" s="39">
        <v>1</v>
      </c>
      <c r="AD143" s="11"/>
      <c r="AE143" s="15">
        <v>4.9000000000000004</v>
      </c>
      <c r="AF143" s="15">
        <v>7.1</v>
      </c>
      <c r="AG143" s="15">
        <v>3.2</v>
      </c>
      <c r="AH143" s="43">
        <f>AE143*AF143*AG143*0.52</f>
        <v>57.890560000000001</v>
      </c>
      <c r="AI143" s="70"/>
      <c r="AK143" s="39">
        <v>1</v>
      </c>
      <c r="AL143" s="39">
        <v>1</v>
      </c>
      <c r="AM143" s="11"/>
      <c r="AN143" s="15">
        <v>6</v>
      </c>
      <c r="AO143" s="15">
        <v>7</v>
      </c>
      <c r="AP143" s="15">
        <v>5</v>
      </c>
      <c r="AQ143" s="43">
        <f>AN143*AO143*AP143*0.52</f>
        <v>109.2</v>
      </c>
      <c r="AR143" s="70"/>
      <c r="AT143" s="39">
        <v>1</v>
      </c>
      <c r="AU143" s="39">
        <v>1</v>
      </c>
      <c r="AV143" s="11"/>
      <c r="AW143" s="15">
        <v>5.5</v>
      </c>
      <c r="AX143" s="15">
        <v>7.2</v>
      </c>
      <c r="AY143" s="15">
        <v>3.7</v>
      </c>
      <c r="AZ143" s="43">
        <f>AW143*AX143*AY143*0.52</f>
        <v>76.190400000000011</v>
      </c>
      <c r="BA143" s="70"/>
      <c r="BC143" s="39">
        <v>1</v>
      </c>
      <c r="BD143" s="39">
        <v>1</v>
      </c>
      <c r="BE143" s="11"/>
      <c r="BF143" s="15">
        <v>5</v>
      </c>
      <c r="BG143" s="15">
        <v>5</v>
      </c>
      <c r="BH143" s="15">
        <v>5</v>
      </c>
      <c r="BI143" s="43">
        <f>BF143*BG143*BH143*0.52</f>
        <v>65</v>
      </c>
      <c r="BJ143" s="70"/>
      <c r="BL143" s="39">
        <v>1</v>
      </c>
      <c r="BM143" s="39">
        <v>1</v>
      </c>
      <c r="BN143" s="11"/>
      <c r="BO143" s="15">
        <v>3</v>
      </c>
      <c r="BP143" s="15">
        <v>3</v>
      </c>
      <c r="BQ143" s="15">
        <v>3</v>
      </c>
      <c r="BR143" s="43">
        <f>BO143*BP143*BQ143*0.52</f>
        <v>14.040000000000001</v>
      </c>
      <c r="BS143" s="70"/>
      <c r="BU143" s="39">
        <v>1</v>
      </c>
      <c r="BV143" s="39">
        <v>1</v>
      </c>
      <c r="BW143" s="11"/>
      <c r="BX143" s="15" t="s">
        <v>49</v>
      </c>
      <c r="BY143" s="15"/>
      <c r="BZ143" s="15"/>
      <c r="CA143" s="75">
        <v>0</v>
      </c>
      <c r="CB143" s="70"/>
      <c r="CD143" s="39">
        <v>1</v>
      </c>
      <c r="CE143" s="39">
        <v>1</v>
      </c>
      <c r="CF143" s="11"/>
      <c r="CG143" s="15" t="s">
        <v>49</v>
      </c>
      <c r="CH143" s="15"/>
      <c r="CI143" s="15"/>
      <c r="CJ143" s="75">
        <v>0</v>
      </c>
      <c r="CK143" s="70"/>
      <c r="CM143" s="39">
        <v>1</v>
      </c>
      <c r="CN143" s="39">
        <v>1</v>
      </c>
      <c r="CO143" s="11"/>
      <c r="CP143" s="15" t="s">
        <v>49</v>
      </c>
      <c r="CQ143" s="15"/>
      <c r="CR143" s="15"/>
      <c r="CS143" s="75">
        <v>0</v>
      </c>
      <c r="CT143" s="86"/>
      <c r="CV143" s="39">
        <v>1</v>
      </c>
      <c r="CW143" s="39">
        <v>1</v>
      </c>
      <c r="CX143" s="11"/>
      <c r="CY143" s="18" t="s">
        <v>49</v>
      </c>
      <c r="CZ143" s="15"/>
      <c r="DA143" s="15"/>
      <c r="DB143" s="75">
        <v>0</v>
      </c>
      <c r="DC143" s="86"/>
      <c r="DE143" s="39">
        <v>1</v>
      </c>
      <c r="DF143" s="39">
        <v>1</v>
      </c>
      <c r="DG143" s="11"/>
      <c r="DH143" s="18" t="s">
        <v>49</v>
      </c>
      <c r="DI143" s="15"/>
      <c r="DJ143" s="15"/>
      <c r="DK143" s="75">
        <v>0</v>
      </c>
      <c r="DL143" s="86"/>
      <c r="DN143" s="39">
        <v>1</v>
      </c>
      <c r="DO143" s="39">
        <v>1</v>
      </c>
      <c r="DP143" s="11"/>
      <c r="DQ143" s="15" t="s">
        <v>49</v>
      </c>
      <c r="DR143" s="15"/>
      <c r="DS143" s="15"/>
      <c r="DT143" s="75">
        <v>0</v>
      </c>
      <c r="DU143" s="86"/>
      <c r="DX143">
        <v>36</v>
      </c>
    </row>
    <row r="144" spans="1:128" x14ac:dyDescent="0.25">
      <c r="A144" s="39">
        <v>2</v>
      </c>
      <c r="B144" s="39">
        <v>2</v>
      </c>
      <c r="C144" s="11"/>
      <c r="D144" s="15">
        <v>3</v>
      </c>
      <c r="E144" s="15">
        <v>4</v>
      </c>
      <c r="F144" s="15">
        <v>3</v>
      </c>
      <c r="G144" s="43">
        <f t="shared" ref="G144:G151" si="103">D144*E144*F144*0.52</f>
        <v>18.72</v>
      </c>
      <c r="H144" s="70"/>
      <c r="J144" s="39">
        <v>2</v>
      </c>
      <c r="K144" s="39">
        <v>2</v>
      </c>
      <c r="L144" s="11"/>
      <c r="M144" s="15">
        <v>5</v>
      </c>
      <c r="N144" s="15">
        <v>4</v>
      </c>
      <c r="O144" s="15">
        <v>3</v>
      </c>
      <c r="P144" s="43">
        <f t="shared" ref="P144:P151" si="104">M144*N144*O144*0.52</f>
        <v>31.200000000000003</v>
      </c>
      <c r="Q144" s="70"/>
      <c r="S144" s="39">
        <v>2</v>
      </c>
      <c r="T144" s="39">
        <v>2</v>
      </c>
      <c r="U144" s="11"/>
      <c r="V144" s="15">
        <v>5</v>
      </c>
      <c r="W144" s="15">
        <v>5</v>
      </c>
      <c r="X144" s="15">
        <v>3</v>
      </c>
      <c r="Y144" s="43">
        <f t="shared" ref="Y144:Y151" si="105">V144*W144*X144*0.52</f>
        <v>39</v>
      </c>
      <c r="Z144" s="70"/>
      <c r="AB144" s="39">
        <v>2</v>
      </c>
      <c r="AC144" s="39">
        <v>2</v>
      </c>
      <c r="AD144" s="11"/>
      <c r="AE144" s="15">
        <v>6</v>
      </c>
      <c r="AF144" s="15">
        <v>5</v>
      </c>
      <c r="AG144" s="15">
        <v>7.2</v>
      </c>
      <c r="AH144" s="43">
        <f t="shared" ref="AH144:AH151" si="106">AE144*AF144*AG144*0.52</f>
        <v>112.32000000000001</v>
      </c>
      <c r="AI144" s="70"/>
      <c r="AK144" s="39">
        <v>2</v>
      </c>
      <c r="AL144" s="39">
        <v>2</v>
      </c>
      <c r="AM144" s="11"/>
      <c r="AN144" s="15">
        <v>5</v>
      </c>
      <c r="AO144" s="15">
        <v>5</v>
      </c>
      <c r="AP144" s="15">
        <v>4</v>
      </c>
      <c r="AQ144" s="43">
        <f t="shared" ref="AQ144:AQ151" si="107">AN144*AO144*AP144*0.52</f>
        <v>52</v>
      </c>
      <c r="AR144" s="70"/>
      <c r="AT144" s="39">
        <v>2</v>
      </c>
      <c r="AU144" s="39">
        <v>2</v>
      </c>
      <c r="AV144" s="11"/>
      <c r="AW144" s="15">
        <v>5.8</v>
      </c>
      <c r="AX144" s="15">
        <v>5</v>
      </c>
      <c r="AY144" s="15">
        <v>4</v>
      </c>
      <c r="AZ144" s="43">
        <f t="shared" ref="AZ144:AZ151" si="108">AW144*AX144*AY144*0.52</f>
        <v>60.32</v>
      </c>
      <c r="BA144" s="70"/>
      <c r="BC144" s="39">
        <v>2</v>
      </c>
      <c r="BD144" s="39">
        <v>2</v>
      </c>
      <c r="BE144" s="11"/>
      <c r="BF144" s="15">
        <v>5</v>
      </c>
      <c r="BG144" s="15">
        <v>5</v>
      </c>
      <c r="BH144" s="15">
        <v>3</v>
      </c>
      <c r="BI144" s="43">
        <f t="shared" ref="BI144:BI151" si="109">BF144*BG144*BH144*0.52</f>
        <v>39</v>
      </c>
      <c r="BJ144" s="70"/>
      <c r="BL144" s="39">
        <v>2</v>
      </c>
      <c r="BM144" s="39">
        <v>2</v>
      </c>
      <c r="BN144" s="11"/>
      <c r="BO144" s="15">
        <v>5</v>
      </c>
      <c r="BP144" s="15">
        <v>5</v>
      </c>
      <c r="BQ144" s="15">
        <v>3</v>
      </c>
      <c r="BR144" s="43">
        <f t="shared" ref="BR144:BR151" si="110">BO144*BP144*BQ144*0.52</f>
        <v>39</v>
      </c>
      <c r="BS144" s="70"/>
      <c r="BU144" s="39">
        <v>2</v>
      </c>
      <c r="BV144" s="39">
        <v>2</v>
      </c>
      <c r="BW144" s="11"/>
      <c r="BX144" s="15" t="s">
        <v>49</v>
      </c>
      <c r="BY144" s="15"/>
      <c r="BZ144" s="15"/>
      <c r="CA144" s="75">
        <v>0</v>
      </c>
      <c r="CB144" s="70"/>
      <c r="CD144" s="39">
        <v>2</v>
      </c>
      <c r="CE144" s="39">
        <v>2</v>
      </c>
      <c r="CF144" s="11"/>
      <c r="CG144" s="15" t="s">
        <v>49</v>
      </c>
      <c r="CH144" s="15"/>
      <c r="CI144" s="15"/>
      <c r="CJ144" s="75">
        <v>0</v>
      </c>
      <c r="CK144" s="70"/>
      <c r="CM144" s="39">
        <v>2</v>
      </c>
      <c r="CN144" s="39">
        <v>2</v>
      </c>
      <c r="CO144" s="11"/>
      <c r="CP144" s="15" t="s">
        <v>49</v>
      </c>
      <c r="CQ144" s="15"/>
      <c r="CR144" s="15"/>
      <c r="CS144" s="75">
        <v>0</v>
      </c>
      <c r="CT144" s="86"/>
      <c r="CV144" s="39">
        <v>2</v>
      </c>
      <c r="CW144" s="39">
        <v>2</v>
      </c>
      <c r="CX144" s="11"/>
      <c r="CY144" s="18" t="s">
        <v>49</v>
      </c>
      <c r="CZ144" s="15"/>
      <c r="DA144" s="15"/>
      <c r="DB144" s="75">
        <v>0</v>
      </c>
      <c r="DC144" s="86"/>
      <c r="DE144" s="39">
        <v>2</v>
      </c>
      <c r="DF144" s="39">
        <v>2</v>
      </c>
      <c r="DG144" s="11"/>
      <c r="DH144" s="18" t="s">
        <v>49</v>
      </c>
      <c r="DI144" s="15"/>
      <c r="DJ144" s="15"/>
      <c r="DK144" s="75">
        <v>0</v>
      </c>
      <c r="DL144" s="86"/>
      <c r="DN144" s="39">
        <v>2</v>
      </c>
      <c r="DO144" s="39">
        <v>2</v>
      </c>
      <c r="DP144" s="11"/>
      <c r="DQ144" s="15" t="s">
        <v>49</v>
      </c>
      <c r="DR144" s="15"/>
      <c r="DS144" s="15"/>
      <c r="DT144" s="75">
        <v>0</v>
      </c>
      <c r="DU144" s="86"/>
      <c r="DX144">
        <v>46</v>
      </c>
    </row>
    <row r="145" spans="1:128" x14ac:dyDescent="0.25">
      <c r="A145" s="39">
        <v>3</v>
      </c>
      <c r="B145" s="39">
        <v>3</v>
      </c>
      <c r="C145" s="11"/>
      <c r="D145" s="15">
        <v>3</v>
      </c>
      <c r="E145" s="15">
        <v>3</v>
      </c>
      <c r="F145" s="15">
        <v>3</v>
      </c>
      <c r="G145" s="43">
        <f t="shared" si="103"/>
        <v>14.040000000000001</v>
      </c>
      <c r="H145" s="70"/>
      <c r="J145" s="39">
        <v>3</v>
      </c>
      <c r="K145" s="39">
        <v>3</v>
      </c>
      <c r="L145" s="11"/>
      <c r="M145" s="15">
        <v>3</v>
      </c>
      <c r="N145" s="15">
        <v>3</v>
      </c>
      <c r="O145" s="15">
        <v>3</v>
      </c>
      <c r="P145" s="43">
        <f t="shared" si="104"/>
        <v>14.040000000000001</v>
      </c>
      <c r="Q145" s="70"/>
      <c r="S145" s="39">
        <v>3</v>
      </c>
      <c r="T145" s="39">
        <v>3</v>
      </c>
      <c r="U145" s="11"/>
      <c r="V145" s="15">
        <v>3</v>
      </c>
      <c r="W145" s="15">
        <v>3</v>
      </c>
      <c r="X145" s="15">
        <v>3</v>
      </c>
      <c r="Y145" s="43">
        <f t="shared" si="105"/>
        <v>14.040000000000001</v>
      </c>
      <c r="Z145" s="70"/>
      <c r="AB145" s="39">
        <v>3</v>
      </c>
      <c r="AC145" s="39">
        <v>3</v>
      </c>
      <c r="AD145" s="11"/>
      <c r="AE145" s="15">
        <v>3</v>
      </c>
      <c r="AF145" s="15">
        <v>3</v>
      </c>
      <c r="AG145" s="15">
        <v>3</v>
      </c>
      <c r="AH145" s="43">
        <f t="shared" si="106"/>
        <v>14.040000000000001</v>
      </c>
      <c r="AI145" s="70"/>
      <c r="AK145" s="39">
        <v>3</v>
      </c>
      <c r="AL145" s="39">
        <v>3</v>
      </c>
      <c r="AM145" s="11"/>
      <c r="AN145" s="15">
        <v>5</v>
      </c>
      <c r="AO145" s="15">
        <v>5</v>
      </c>
      <c r="AP145" s="15">
        <v>2</v>
      </c>
      <c r="AQ145" s="43">
        <f t="shared" si="107"/>
        <v>26</v>
      </c>
      <c r="AR145" s="70"/>
      <c r="AT145" s="39">
        <v>3</v>
      </c>
      <c r="AU145" s="39">
        <v>3</v>
      </c>
      <c r="AV145" s="11"/>
      <c r="AW145" s="15">
        <v>5</v>
      </c>
      <c r="AX145" s="15">
        <v>5</v>
      </c>
      <c r="AY145" s="15">
        <v>2</v>
      </c>
      <c r="AZ145" s="43">
        <f t="shared" si="108"/>
        <v>26</v>
      </c>
      <c r="BA145" s="70"/>
      <c r="BC145" s="39">
        <v>3</v>
      </c>
      <c r="BD145" s="39">
        <v>3</v>
      </c>
      <c r="BE145" s="11"/>
      <c r="BF145" s="15">
        <v>5</v>
      </c>
      <c r="BG145" s="15">
        <v>5</v>
      </c>
      <c r="BH145" s="15">
        <v>2</v>
      </c>
      <c r="BI145" s="43">
        <f t="shared" si="109"/>
        <v>26</v>
      </c>
      <c r="BJ145" s="70"/>
      <c r="BL145" s="39">
        <v>3</v>
      </c>
      <c r="BM145" s="39">
        <v>3</v>
      </c>
      <c r="BN145" s="11"/>
      <c r="BO145" s="15" t="s">
        <v>49</v>
      </c>
      <c r="BP145" s="15"/>
      <c r="BQ145" s="15"/>
      <c r="BR145" s="75">
        <v>0</v>
      </c>
      <c r="BS145" s="70"/>
      <c r="BU145" s="39">
        <v>3</v>
      </c>
      <c r="BV145" s="39">
        <v>3</v>
      </c>
      <c r="BW145" s="11"/>
      <c r="BX145" s="15" t="s">
        <v>49</v>
      </c>
      <c r="BY145" s="15"/>
      <c r="BZ145" s="15"/>
      <c r="CA145" s="75">
        <v>0</v>
      </c>
      <c r="CB145" s="70"/>
      <c r="CD145" s="39">
        <v>3</v>
      </c>
      <c r="CE145" s="39">
        <v>3</v>
      </c>
      <c r="CF145" s="11"/>
      <c r="CG145" s="15" t="s">
        <v>49</v>
      </c>
      <c r="CH145" s="15"/>
      <c r="CI145" s="15"/>
      <c r="CJ145" s="75">
        <v>0</v>
      </c>
      <c r="CK145" s="70"/>
      <c r="CM145" s="39">
        <v>3</v>
      </c>
      <c r="CN145" s="39">
        <v>3</v>
      </c>
      <c r="CO145" s="11"/>
      <c r="CP145" s="15" t="s">
        <v>49</v>
      </c>
      <c r="CQ145" s="15"/>
      <c r="CR145" s="15"/>
      <c r="CS145" s="75">
        <v>0</v>
      </c>
      <c r="CT145" s="86"/>
      <c r="CV145" s="39">
        <v>3</v>
      </c>
      <c r="CW145" s="39">
        <v>3</v>
      </c>
      <c r="CX145" s="11"/>
      <c r="CY145" s="18" t="s">
        <v>49</v>
      </c>
      <c r="CZ145" s="15"/>
      <c r="DA145" s="15"/>
      <c r="DB145" s="75">
        <v>0</v>
      </c>
      <c r="DC145" s="86"/>
      <c r="DE145" s="39">
        <v>3</v>
      </c>
      <c r="DF145" s="39">
        <v>3</v>
      </c>
      <c r="DG145" s="11"/>
      <c r="DH145" s="18" t="s">
        <v>49</v>
      </c>
      <c r="DI145" s="15"/>
      <c r="DJ145" s="15"/>
      <c r="DK145" s="75">
        <v>0</v>
      </c>
      <c r="DL145" s="86"/>
      <c r="DN145" s="39">
        <v>3</v>
      </c>
      <c r="DO145" s="39">
        <v>3</v>
      </c>
      <c r="DP145" s="11"/>
      <c r="DQ145" s="15" t="s">
        <v>49</v>
      </c>
      <c r="DR145" s="15"/>
      <c r="DS145" s="15"/>
      <c r="DT145" s="75">
        <v>0</v>
      </c>
      <c r="DU145" s="86"/>
      <c r="DX145">
        <v>52</v>
      </c>
    </row>
    <row r="146" spans="1:128" x14ac:dyDescent="0.25">
      <c r="A146" s="39">
        <v>4</v>
      </c>
      <c r="B146" s="39">
        <v>4</v>
      </c>
      <c r="C146" s="11"/>
      <c r="D146" s="15">
        <v>3</v>
      </c>
      <c r="E146" s="15">
        <v>3</v>
      </c>
      <c r="F146" s="15">
        <v>4</v>
      </c>
      <c r="G146" s="43">
        <f t="shared" si="103"/>
        <v>18.72</v>
      </c>
      <c r="H146" s="70"/>
      <c r="J146" s="39">
        <v>4</v>
      </c>
      <c r="K146" s="39">
        <v>4</v>
      </c>
      <c r="L146" s="11"/>
      <c r="M146" s="15">
        <v>3</v>
      </c>
      <c r="N146" s="15">
        <v>3</v>
      </c>
      <c r="O146" s="15">
        <v>2</v>
      </c>
      <c r="P146" s="43">
        <f t="shared" si="104"/>
        <v>9.36</v>
      </c>
      <c r="Q146" s="70"/>
      <c r="S146" s="39">
        <v>4</v>
      </c>
      <c r="T146" s="39">
        <v>4</v>
      </c>
      <c r="U146" s="11"/>
      <c r="V146" s="15">
        <v>3</v>
      </c>
      <c r="W146" s="15">
        <v>3</v>
      </c>
      <c r="X146" s="15">
        <v>2</v>
      </c>
      <c r="Y146" s="43">
        <f t="shared" si="105"/>
        <v>9.36</v>
      </c>
      <c r="Z146" s="70"/>
      <c r="AB146" s="39">
        <v>4</v>
      </c>
      <c r="AC146" s="39">
        <v>4</v>
      </c>
      <c r="AD146" s="11"/>
      <c r="AE146" s="15">
        <v>3</v>
      </c>
      <c r="AF146" s="15">
        <v>3</v>
      </c>
      <c r="AG146" s="15">
        <v>3</v>
      </c>
      <c r="AH146" s="43">
        <f t="shared" si="106"/>
        <v>14.040000000000001</v>
      </c>
      <c r="AI146" s="70"/>
      <c r="AK146" s="39">
        <v>4</v>
      </c>
      <c r="AL146" s="39">
        <v>4</v>
      </c>
      <c r="AM146" s="11"/>
      <c r="AN146" s="15">
        <v>3</v>
      </c>
      <c r="AO146" s="15">
        <v>3</v>
      </c>
      <c r="AP146" s="15">
        <v>3</v>
      </c>
      <c r="AQ146" s="43">
        <f t="shared" si="107"/>
        <v>14.040000000000001</v>
      </c>
      <c r="AR146" s="70"/>
      <c r="AT146" s="39">
        <v>4</v>
      </c>
      <c r="AU146" s="39">
        <v>4</v>
      </c>
      <c r="AV146" s="11"/>
      <c r="AW146" s="15" t="s">
        <v>49</v>
      </c>
      <c r="AX146" s="15"/>
      <c r="AY146" s="15"/>
      <c r="AZ146" s="75">
        <v>0</v>
      </c>
      <c r="BA146" s="70"/>
      <c r="BC146" s="39">
        <v>4</v>
      </c>
      <c r="BD146" s="39">
        <v>4</v>
      </c>
      <c r="BE146" s="11"/>
      <c r="BF146" s="15" t="s">
        <v>49</v>
      </c>
      <c r="BG146" s="15"/>
      <c r="BH146" s="15"/>
      <c r="BI146" s="75">
        <v>0</v>
      </c>
      <c r="BJ146" s="70"/>
      <c r="BL146" s="39">
        <v>4</v>
      </c>
      <c r="BM146" s="39">
        <v>4</v>
      </c>
      <c r="BN146" s="11"/>
      <c r="BO146" s="15" t="s">
        <v>49</v>
      </c>
      <c r="BP146" s="15"/>
      <c r="BQ146" s="15"/>
      <c r="BR146" s="75">
        <v>0</v>
      </c>
      <c r="BS146" s="70"/>
      <c r="BU146" s="39">
        <v>4</v>
      </c>
      <c r="BV146" s="39">
        <v>4</v>
      </c>
      <c r="BW146" s="11"/>
      <c r="BX146" s="15" t="s">
        <v>49</v>
      </c>
      <c r="BY146" s="15"/>
      <c r="BZ146" s="15"/>
      <c r="CA146" s="75">
        <v>0</v>
      </c>
      <c r="CB146" s="70"/>
      <c r="CD146" s="39">
        <v>4</v>
      </c>
      <c r="CE146" s="39">
        <v>4</v>
      </c>
      <c r="CF146" s="11"/>
      <c r="CG146" s="15" t="s">
        <v>49</v>
      </c>
      <c r="CH146" s="15"/>
      <c r="CI146" s="15"/>
      <c r="CJ146" s="75">
        <v>0</v>
      </c>
      <c r="CK146" s="70"/>
      <c r="CM146" s="39">
        <v>4</v>
      </c>
      <c r="CN146" s="39">
        <v>4</v>
      </c>
      <c r="CO146" s="11"/>
      <c r="CP146" s="15" t="s">
        <v>49</v>
      </c>
      <c r="CQ146" s="15"/>
      <c r="CR146" s="15"/>
      <c r="CS146" s="75">
        <v>0</v>
      </c>
      <c r="CT146" s="86"/>
      <c r="CV146" s="39">
        <v>4</v>
      </c>
      <c r="CW146" s="39">
        <v>4</v>
      </c>
      <c r="CX146" s="11"/>
      <c r="CY146" s="18" t="s">
        <v>49</v>
      </c>
      <c r="CZ146" s="15"/>
      <c r="DA146" s="15"/>
      <c r="DB146" s="75">
        <v>0</v>
      </c>
      <c r="DC146" s="86"/>
      <c r="DE146" s="39">
        <v>4</v>
      </c>
      <c r="DF146" s="39">
        <v>4</v>
      </c>
      <c r="DG146" s="11"/>
      <c r="DH146" s="18" t="s">
        <v>49</v>
      </c>
      <c r="DI146" s="15"/>
      <c r="DJ146" s="15"/>
      <c r="DK146" s="75">
        <v>0</v>
      </c>
      <c r="DL146" s="86"/>
      <c r="DN146" s="39">
        <v>4</v>
      </c>
      <c r="DO146" s="39">
        <v>4</v>
      </c>
      <c r="DP146" s="11"/>
      <c r="DQ146" s="15" t="s">
        <v>49</v>
      </c>
      <c r="DR146" s="15"/>
      <c r="DS146" s="15"/>
      <c r="DT146" s="75">
        <v>0</v>
      </c>
      <c r="DU146" s="86"/>
      <c r="DX146" s="73"/>
    </row>
    <row r="147" spans="1:128" x14ac:dyDescent="0.25">
      <c r="A147" s="39">
        <v>5</v>
      </c>
      <c r="B147" s="39">
        <v>5</v>
      </c>
      <c r="C147" s="11"/>
      <c r="D147" s="15">
        <v>6</v>
      </c>
      <c r="E147" s="15">
        <v>3</v>
      </c>
      <c r="F147" s="15">
        <v>3</v>
      </c>
      <c r="G147" s="43">
        <f t="shared" si="103"/>
        <v>28.080000000000002</v>
      </c>
      <c r="H147" s="70"/>
      <c r="J147" s="39">
        <v>5</v>
      </c>
      <c r="K147" s="39">
        <v>5</v>
      </c>
      <c r="L147" s="11"/>
      <c r="M147" s="15" t="s">
        <v>49</v>
      </c>
      <c r="N147" s="15"/>
      <c r="O147" s="15"/>
      <c r="P147" s="75">
        <v>0</v>
      </c>
      <c r="Q147" s="70"/>
      <c r="S147" s="39">
        <v>5</v>
      </c>
      <c r="T147" s="39">
        <v>5</v>
      </c>
      <c r="U147" s="11"/>
      <c r="V147" s="15">
        <v>3</v>
      </c>
      <c r="W147" s="15">
        <v>3</v>
      </c>
      <c r="X147" s="15">
        <v>3</v>
      </c>
      <c r="Y147" s="43">
        <f t="shared" si="105"/>
        <v>14.040000000000001</v>
      </c>
      <c r="Z147" s="70" t="s">
        <v>57</v>
      </c>
      <c r="AB147" s="39">
        <v>5</v>
      </c>
      <c r="AC147" s="39">
        <v>5</v>
      </c>
      <c r="AD147" s="11"/>
      <c r="AE147" s="15">
        <v>5.5</v>
      </c>
      <c r="AF147" s="15">
        <v>5.5</v>
      </c>
      <c r="AG147" s="15">
        <v>2</v>
      </c>
      <c r="AH147" s="43">
        <f t="shared" si="106"/>
        <v>31.46</v>
      </c>
      <c r="AI147" s="70"/>
      <c r="AK147" s="39">
        <v>5</v>
      </c>
      <c r="AL147" s="39">
        <v>5</v>
      </c>
      <c r="AM147" s="11"/>
      <c r="AN147" s="15">
        <v>5</v>
      </c>
      <c r="AO147" s="15">
        <v>5</v>
      </c>
      <c r="AP147" s="15">
        <v>5</v>
      </c>
      <c r="AQ147" s="43">
        <f t="shared" si="107"/>
        <v>65</v>
      </c>
      <c r="AR147" s="70"/>
      <c r="AT147" s="39">
        <v>5</v>
      </c>
      <c r="AU147" s="39">
        <v>5</v>
      </c>
      <c r="AV147" s="11"/>
      <c r="AW147" s="15">
        <v>6</v>
      </c>
      <c r="AX147" s="15">
        <v>6</v>
      </c>
      <c r="AY147" s="15">
        <v>4</v>
      </c>
      <c r="AZ147" s="43">
        <f t="shared" si="108"/>
        <v>74.88</v>
      </c>
      <c r="BA147" s="70"/>
      <c r="BC147" s="39">
        <v>5</v>
      </c>
      <c r="BD147" s="39">
        <v>5</v>
      </c>
      <c r="BE147" s="11"/>
      <c r="BF147" s="15">
        <v>8</v>
      </c>
      <c r="BG147" s="15">
        <v>7</v>
      </c>
      <c r="BH147" s="15">
        <v>5.8</v>
      </c>
      <c r="BI147" s="43">
        <f t="shared" si="109"/>
        <v>168.89600000000002</v>
      </c>
      <c r="BJ147" s="70"/>
      <c r="BL147" s="39">
        <v>5</v>
      </c>
      <c r="BM147" s="39">
        <v>5</v>
      </c>
      <c r="BN147" s="11"/>
      <c r="BO147" s="15">
        <v>9.8000000000000007</v>
      </c>
      <c r="BP147" s="15">
        <v>7</v>
      </c>
      <c r="BQ147" s="15">
        <v>5.5</v>
      </c>
      <c r="BR147" s="43">
        <f t="shared" si="110"/>
        <v>196.19600000000005</v>
      </c>
      <c r="BS147" s="70"/>
      <c r="BU147" s="39">
        <v>5</v>
      </c>
      <c r="BV147" s="39">
        <v>5</v>
      </c>
      <c r="BW147" s="11"/>
      <c r="BX147" s="15">
        <v>9.8000000000000007</v>
      </c>
      <c r="BY147" s="15">
        <v>6.7</v>
      </c>
      <c r="BZ147" s="15">
        <v>4.5</v>
      </c>
      <c r="CA147" s="43">
        <f t="shared" ref="CA147:CA151" si="111">BX147*BY147*BZ147*0.52</f>
        <v>153.64440000000002</v>
      </c>
      <c r="CB147" s="70"/>
      <c r="CD147" s="39">
        <v>5</v>
      </c>
      <c r="CE147" s="39">
        <v>5</v>
      </c>
      <c r="CF147" s="11"/>
      <c r="CG147" s="15">
        <v>14</v>
      </c>
      <c r="CH147" s="15">
        <v>10</v>
      </c>
      <c r="CI147" s="15">
        <v>5.5</v>
      </c>
      <c r="CJ147" s="43">
        <f t="shared" ref="CJ147:CJ151" si="112">CG147*CH147*CI147*0.52</f>
        <v>400.40000000000003</v>
      </c>
      <c r="CK147" s="70"/>
      <c r="CM147" s="39">
        <v>5</v>
      </c>
      <c r="CN147" s="39">
        <v>5</v>
      </c>
      <c r="CO147" s="11"/>
      <c r="CP147" s="15">
        <v>18</v>
      </c>
      <c r="CQ147" s="15">
        <v>13.2</v>
      </c>
      <c r="CR147" s="15">
        <v>7.6</v>
      </c>
      <c r="CS147" s="43">
        <f t="shared" ref="CS147:CS151" si="113">CP147*CQ147*CR147*0.52</f>
        <v>938.99519999999995</v>
      </c>
      <c r="CT147" s="86"/>
      <c r="CV147" s="39">
        <v>5</v>
      </c>
      <c r="CW147" s="39">
        <v>5</v>
      </c>
      <c r="CX147" s="11"/>
      <c r="CY147" s="15">
        <v>23.9</v>
      </c>
      <c r="CZ147" s="15">
        <v>14.3</v>
      </c>
      <c r="DA147" s="15">
        <v>16.899999999999999</v>
      </c>
      <c r="DB147" s="76">
        <f t="shared" ref="DB147:DB151" si="114">CY147*CZ147*DA147*0.52</f>
        <v>3003.4747600000001</v>
      </c>
      <c r="DC147" s="86" t="s">
        <v>85</v>
      </c>
      <c r="DE147" s="39">
        <v>5</v>
      </c>
      <c r="DF147" s="39">
        <v>5</v>
      </c>
      <c r="DG147" s="11"/>
      <c r="DH147" s="77"/>
      <c r="DI147" s="77"/>
      <c r="DJ147" s="77"/>
      <c r="DK147" s="76"/>
      <c r="DL147" s="86" t="s">
        <v>85</v>
      </c>
      <c r="DN147" s="39">
        <v>5</v>
      </c>
      <c r="DO147" s="39">
        <v>5</v>
      </c>
      <c r="DP147" s="11"/>
      <c r="DQ147" s="77"/>
      <c r="DR147" s="77"/>
      <c r="DS147" s="77"/>
      <c r="DT147" s="76"/>
      <c r="DU147" s="86" t="s">
        <v>85</v>
      </c>
      <c r="DX147" s="88"/>
    </row>
    <row r="148" spans="1:128" x14ac:dyDescent="0.25">
      <c r="A148" s="39">
        <v>6</v>
      </c>
      <c r="B148" s="39">
        <v>6</v>
      </c>
      <c r="C148" s="11"/>
      <c r="D148" s="18">
        <v>4</v>
      </c>
      <c r="E148" s="18">
        <v>4</v>
      </c>
      <c r="F148" s="18">
        <v>2</v>
      </c>
      <c r="G148" s="43">
        <f t="shared" si="103"/>
        <v>16.64</v>
      </c>
      <c r="H148" s="70"/>
      <c r="J148" s="39">
        <v>6</v>
      </c>
      <c r="K148" s="39">
        <v>6</v>
      </c>
      <c r="L148" s="11"/>
      <c r="M148" s="18">
        <v>3</v>
      </c>
      <c r="N148" s="18">
        <v>3</v>
      </c>
      <c r="O148" s="18">
        <v>2</v>
      </c>
      <c r="P148" s="43">
        <f t="shared" si="104"/>
        <v>9.36</v>
      </c>
      <c r="Q148" s="70"/>
      <c r="S148" s="39">
        <v>6</v>
      </c>
      <c r="T148" s="39">
        <v>6</v>
      </c>
      <c r="U148" s="11"/>
      <c r="V148" s="18">
        <v>5</v>
      </c>
      <c r="W148" s="18">
        <v>5</v>
      </c>
      <c r="X148" s="18">
        <v>3.5</v>
      </c>
      <c r="Y148" s="43">
        <f t="shared" si="105"/>
        <v>45.5</v>
      </c>
      <c r="Z148" s="70"/>
      <c r="AB148" s="39">
        <v>6</v>
      </c>
      <c r="AC148" s="39">
        <v>6</v>
      </c>
      <c r="AD148" s="11"/>
      <c r="AE148" s="18">
        <v>3</v>
      </c>
      <c r="AF148" s="18">
        <v>3</v>
      </c>
      <c r="AG148" s="18">
        <v>3</v>
      </c>
      <c r="AH148" s="43">
        <f t="shared" si="106"/>
        <v>14.040000000000001</v>
      </c>
      <c r="AI148" s="70"/>
      <c r="AK148" s="39">
        <v>6</v>
      </c>
      <c r="AL148" s="39">
        <v>6</v>
      </c>
      <c r="AM148" s="11"/>
      <c r="AN148" s="18">
        <v>5</v>
      </c>
      <c r="AO148" s="18">
        <v>5</v>
      </c>
      <c r="AP148" s="18">
        <v>3</v>
      </c>
      <c r="AQ148" s="43">
        <f t="shared" si="107"/>
        <v>39</v>
      </c>
      <c r="AR148" s="70"/>
      <c r="AT148" s="39">
        <v>6</v>
      </c>
      <c r="AU148" s="39">
        <v>6</v>
      </c>
      <c r="AV148" s="11"/>
      <c r="AW148" s="18">
        <v>5</v>
      </c>
      <c r="AX148" s="18">
        <v>5</v>
      </c>
      <c r="AY148" s="18">
        <v>3</v>
      </c>
      <c r="AZ148" s="43">
        <f t="shared" si="108"/>
        <v>39</v>
      </c>
      <c r="BA148" s="70"/>
      <c r="BC148" s="39">
        <v>6</v>
      </c>
      <c r="BD148" s="39">
        <v>6</v>
      </c>
      <c r="BE148" s="11"/>
      <c r="BF148" s="18">
        <v>5</v>
      </c>
      <c r="BG148" s="18">
        <v>5</v>
      </c>
      <c r="BH148" s="18">
        <v>3</v>
      </c>
      <c r="BI148" s="43">
        <f t="shared" si="109"/>
        <v>39</v>
      </c>
      <c r="BJ148" s="70"/>
      <c r="BL148" s="39">
        <v>6</v>
      </c>
      <c r="BM148" s="39">
        <v>6</v>
      </c>
      <c r="BN148" s="11"/>
      <c r="BO148" s="18">
        <v>5</v>
      </c>
      <c r="BP148" s="18">
        <v>5</v>
      </c>
      <c r="BQ148" s="18">
        <v>3</v>
      </c>
      <c r="BR148" s="43">
        <f t="shared" si="110"/>
        <v>39</v>
      </c>
      <c r="BS148" s="70"/>
      <c r="BU148" s="39">
        <v>6</v>
      </c>
      <c r="BV148" s="39">
        <v>6</v>
      </c>
      <c r="BW148" s="11"/>
      <c r="BX148" s="18">
        <v>3</v>
      </c>
      <c r="BY148" s="18">
        <v>3</v>
      </c>
      <c r="BZ148" s="18">
        <v>3</v>
      </c>
      <c r="CA148" s="43">
        <f t="shared" si="111"/>
        <v>14.040000000000001</v>
      </c>
      <c r="CB148" s="70"/>
      <c r="CD148" s="39">
        <v>6</v>
      </c>
      <c r="CE148" s="39">
        <v>6</v>
      </c>
      <c r="CF148" s="11"/>
      <c r="CG148" s="18">
        <v>3</v>
      </c>
      <c r="CH148" s="18">
        <v>3</v>
      </c>
      <c r="CI148" s="18">
        <v>3</v>
      </c>
      <c r="CJ148" s="43">
        <f t="shared" si="112"/>
        <v>14.040000000000001</v>
      </c>
      <c r="CK148" s="70"/>
      <c r="CM148" s="39">
        <v>6</v>
      </c>
      <c r="CN148" s="39">
        <v>6</v>
      </c>
      <c r="CO148" s="11"/>
      <c r="CP148" s="18">
        <v>5</v>
      </c>
      <c r="CQ148" s="18">
        <v>5</v>
      </c>
      <c r="CR148" s="18">
        <v>4</v>
      </c>
      <c r="CS148" s="43">
        <f t="shared" si="113"/>
        <v>52</v>
      </c>
      <c r="CT148" s="86"/>
      <c r="CV148" s="39">
        <v>6</v>
      </c>
      <c r="CW148" s="39">
        <v>6</v>
      </c>
      <c r="CX148" s="11"/>
      <c r="CY148" s="18">
        <v>8.6999999999999993</v>
      </c>
      <c r="CZ148" s="18">
        <v>7.2</v>
      </c>
      <c r="DA148" s="18">
        <v>4.8</v>
      </c>
      <c r="DB148" s="43">
        <f t="shared" si="114"/>
        <v>156.34943999999999</v>
      </c>
      <c r="DC148" s="86"/>
      <c r="DE148" s="39">
        <v>6</v>
      </c>
      <c r="DF148" s="39">
        <v>6</v>
      </c>
      <c r="DG148" s="11"/>
      <c r="DH148" s="18">
        <v>10.199999999999999</v>
      </c>
      <c r="DI148" s="18">
        <v>9.3000000000000007</v>
      </c>
      <c r="DJ148" s="18">
        <v>3.5</v>
      </c>
      <c r="DK148" s="43">
        <f t="shared" ref="DK148" si="115">DH148*DI148*DJ148*0.52</f>
        <v>172.64519999999999</v>
      </c>
      <c r="DL148" s="86"/>
      <c r="DN148" s="39">
        <v>6</v>
      </c>
      <c r="DO148" s="39">
        <v>6</v>
      </c>
      <c r="DP148" s="11"/>
      <c r="DQ148" s="18">
        <v>14.4</v>
      </c>
      <c r="DR148" s="18">
        <v>11.6</v>
      </c>
      <c r="DS148" s="18">
        <v>5</v>
      </c>
      <c r="DT148" s="43">
        <f t="shared" ref="DT148" si="116">DQ148*DR148*DS148*0.52</f>
        <v>434.30399999999997</v>
      </c>
      <c r="DU148" s="90"/>
      <c r="DX148" s="88"/>
    </row>
    <row r="149" spans="1:128" x14ac:dyDescent="0.25">
      <c r="A149" s="39">
        <v>7</v>
      </c>
      <c r="B149" s="45">
        <v>14</v>
      </c>
      <c r="C149" s="11"/>
      <c r="D149" s="18">
        <v>3</v>
      </c>
      <c r="E149" s="18">
        <v>3</v>
      </c>
      <c r="F149" s="18">
        <v>3</v>
      </c>
      <c r="G149" s="43">
        <f t="shared" si="103"/>
        <v>14.040000000000001</v>
      </c>
      <c r="H149" s="70"/>
      <c r="J149" s="39">
        <v>7</v>
      </c>
      <c r="K149" s="45">
        <v>14</v>
      </c>
      <c r="L149" s="11"/>
      <c r="M149" s="18" t="s">
        <v>49</v>
      </c>
      <c r="N149" s="18"/>
      <c r="O149" s="18"/>
      <c r="P149" s="75">
        <v>0</v>
      </c>
      <c r="Q149" s="70"/>
      <c r="S149" s="39">
        <v>7</v>
      </c>
      <c r="T149" s="45">
        <v>14</v>
      </c>
      <c r="U149" s="11"/>
      <c r="V149" s="18">
        <v>5.7</v>
      </c>
      <c r="W149" s="18">
        <v>7.6</v>
      </c>
      <c r="X149" s="18">
        <v>3.2</v>
      </c>
      <c r="Y149" s="43">
        <f t="shared" si="105"/>
        <v>72.084479999999999</v>
      </c>
      <c r="Z149" s="70"/>
      <c r="AB149" s="39">
        <v>7</v>
      </c>
      <c r="AC149" s="45">
        <v>14</v>
      </c>
      <c r="AD149" s="11"/>
      <c r="AE149" s="18">
        <v>7</v>
      </c>
      <c r="AF149" s="18">
        <v>7.7</v>
      </c>
      <c r="AG149" s="18">
        <v>3.6</v>
      </c>
      <c r="AH149" s="43">
        <f t="shared" si="106"/>
        <v>100.9008</v>
      </c>
      <c r="AI149" s="70"/>
      <c r="AK149" s="39">
        <v>7</v>
      </c>
      <c r="AL149" s="45">
        <v>14</v>
      </c>
      <c r="AM149" s="11"/>
      <c r="AN149" s="18">
        <v>7.6</v>
      </c>
      <c r="AO149" s="18">
        <v>5.6</v>
      </c>
      <c r="AP149" s="18">
        <v>3</v>
      </c>
      <c r="AQ149" s="43">
        <f t="shared" si="107"/>
        <v>66.393599999999992</v>
      </c>
      <c r="AR149" s="70"/>
      <c r="AT149" s="39">
        <v>7</v>
      </c>
      <c r="AU149" s="45">
        <v>14</v>
      </c>
      <c r="AV149" s="11"/>
      <c r="AW149" s="18">
        <v>6</v>
      </c>
      <c r="AX149" s="18">
        <v>8</v>
      </c>
      <c r="AY149" s="18">
        <v>4.2</v>
      </c>
      <c r="AZ149" s="43">
        <f t="shared" si="108"/>
        <v>104.83200000000002</v>
      </c>
      <c r="BA149" s="70"/>
      <c r="BC149" s="39">
        <v>7</v>
      </c>
      <c r="BD149" s="45">
        <v>14</v>
      </c>
      <c r="BE149" s="11"/>
      <c r="BF149" s="18">
        <v>6.4</v>
      </c>
      <c r="BG149" s="18">
        <v>7.7</v>
      </c>
      <c r="BH149" s="18">
        <v>4</v>
      </c>
      <c r="BI149" s="43">
        <f t="shared" si="109"/>
        <v>102.50240000000001</v>
      </c>
      <c r="BJ149" s="70"/>
      <c r="BL149" s="39">
        <v>7</v>
      </c>
      <c r="BM149" s="45">
        <v>14</v>
      </c>
      <c r="BN149" s="11"/>
      <c r="BO149" s="18">
        <v>13.2</v>
      </c>
      <c r="BP149" s="18">
        <v>9.5</v>
      </c>
      <c r="BQ149" s="18">
        <v>6.9</v>
      </c>
      <c r="BR149" s="43">
        <f t="shared" si="110"/>
        <v>449.93520000000001</v>
      </c>
      <c r="BS149" s="70"/>
      <c r="BU149" s="39">
        <v>7</v>
      </c>
      <c r="BV149" s="45">
        <v>14</v>
      </c>
      <c r="BW149" s="11"/>
      <c r="BX149" s="18">
        <v>14</v>
      </c>
      <c r="BY149" s="18">
        <v>11</v>
      </c>
      <c r="BZ149" s="18">
        <v>8.1999999999999993</v>
      </c>
      <c r="CA149" s="43">
        <f t="shared" si="111"/>
        <v>656.65599999999995</v>
      </c>
      <c r="CB149" s="70"/>
      <c r="CD149" s="39">
        <v>7</v>
      </c>
      <c r="CE149" s="45">
        <v>14</v>
      </c>
      <c r="CF149" s="11"/>
      <c r="CG149" s="18">
        <v>20</v>
      </c>
      <c r="CH149" s="18">
        <v>16.8</v>
      </c>
      <c r="CI149" s="18">
        <v>11.8</v>
      </c>
      <c r="CJ149" s="82">
        <f t="shared" si="112"/>
        <v>2061.6960000000004</v>
      </c>
      <c r="CK149" s="86" t="s">
        <v>78</v>
      </c>
      <c r="CM149" s="39">
        <v>7</v>
      </c>
      <c r="CN149" s="45">
        <v>14</v>
      </c>
      <c r="CO149" s="11"/>
      <c r="CP149" s="84"/>
      <c r="CQ149" s="84"/>
      <c r="CR149" s="84"/>
      <c r="CS149" s="82"/>
      <c r="CT149" s="86" t="s">
        <v>78</v>
      </c>
      <c r="CV149" s="39">
        <v>7</v>
      </c>
      <c r="CW149" s="45">
        <v>14</v>
      </c>
      <c r="CX149" s="11"/>
      <c r="CY149" s="85"/>
      <c r="CZ149" s="85"/>
      <c r="DA149" s="85"/>
      <c r="DB149" s="82"/>
      <c r="DC149" s="86" t="s">
        <v>78</v>
      </c>
      <c r="DE149" s="39">
        <v>7</v>
      </c>
      <c r="DF149" s="45">
        <v>14</v>
      </c>
      <c r="DG149" s="11"/>
      <c r="DH149" s="85"/>
      <c r="DI149" s="85"/>
      <c r="DJ149" s="85"/>
      <c r="DK149" s="82"/>
      <c r="DL149" s="86" t="s">
        <v>78</v>
      </c>
      <c r="DN149" s="39">
        <v>7</v>
      </c>
      <c r="DO149" s="45">
        <v>14</v>
      </c>
      <c r="DP149" s="11"/>
      <c r="DQ149" s="85"/>
      <c r="DR149" s="85"/>
      <c r="DS149" s="85"/>
      <c r="DT149" s="82"/>
      <c r="DU149" s="86" t="s">
        <v>78</v>
      </c>
      <c r="DX149" s="88"/>
    </row>
    <row r="150" spans="1:128" x14ac:dyDescent="0.25">
      <c r="A150" s="39">
        <v>8</v>
      </c>
      <c r="B150" s="45">
        <v>15</v>
      </c>
      <c r="C150" s="11"/>
      <c r="D150" s="15">
        <v>4</v>
      </c>
      <c r="E150" s="15">
        <v>4</v>
      </c>
      <c r="F150" s="15">
        <v>3</v>
      </c>
      <c r="G150" s="43">
        <f t="shared" si="103"/>
        <v>24.96</v>
      </c>
      <c r="H150" s="70"/>
      <c r="J150" s="39">
        <v>8</v>
      </c>
      <c r="K150" s="45">
        <v>15</v>
      </c>
      <c r="L150" s="11"/>
      <c r="M150" s="15">
        <v>4</v>
      </c>
      <c r="N150" s="15">
        <v>4</v>
      </c>
      <c r="O150" s="15">
        <v>3</v>
      </c>
      <c r="P150" s="43">
        <f t="shared" si="104"/>
        <v>24.96</v>
      </c>
      <c r="Q150" s="70"/>
      <c r="S150" s="39">
        <v>8</v>
      </c>
      <c r="T150" s="45">
        <v>15</v>
      </c>
      <c r="U150" s="11"/>
      <c r="V150" s="15">
        <v>7.9</v>
      </c>
      <c r="W150" s="15">
        <v>5.9</v>
      </c>
      <c r="X150" s="15">
        <v>2.9</v>
      </c>
      <c r="Y150" s="43">
        <f t="shared" si="105"/>
        <v>70.287880000000001</v>
      </c>
      <c r="Z150" s="70" t="s">
        <v>57</v>
      </c>
      <c r="AB150" s="39">
        <v>8</v>
      </c>
      <c r="AC150" s="45">
        <v>15</v>
      </c>
      <c r="AD150" s="11"/>
      <c r="AE150" s="15">
        <v>5</v>
      </c>
      <c r="AF150" s="15">
        <v>5</v>
      </c>
      <c r="AG150" s="15">
        <v>2</v>
      </c>
      <c r="AH150" s="43">
        <f t="shared" si="106"/>
        <v>26</v>
      </c>
      <c r="AI150" s="70"/>
      <c r="AK150" s="39">
        <v>8</v>
      </c>
      <c r="AL150" s="45">
        <v>15</v>
      </c>
      <c r="AM150" s="11"/>
      <c r="AN150" s="15">
        <v>5</v>
      </c>
      <c r="AO150" s="15">
        <v>5</v>
      </c>
      <c r="AP150" s="15">
        <v>2</v>
      </c>
      <c r="AQ150" s="43">
        <f t="shared" si="107"/>
        <v>26</v>
      </c>
      <c r="AR150" s="70"/>
      <c r="AT150" s="39">
        <v>8</v>
      </c>
      <c r="AU150" s="45">
        <v>15</v>
      </c>
      <c r="AV150" s="11"/>
      <c r="AW150" s="15">
        <v>5</v>
      </c>
      <c r="AX150" s="15">
        <v>5</v>
      </c>
      <c r="AY150" s="15">
        <v>2</v>
      </c>
      <c r="AZ150" s="43">
        <f t="shared" si="108"/>
        <v>26</v>
      </c>
      <c r="BA150" s="70"/>
      <c r="BC150" s="39">
        <v>8</v>
      </c>
      <c r="BD150" s="45">
        <v>15</v>
      </c>
      <c r="BE150" s="11"/>
      <c r="BF150" s="15" t="s">
        <v>49</v>
      </c>
      <c r="BG150" s="15"/>
      <c r="BH150" s="15"/>
      <c r="BI150" s="75">
        <v>0</v>
      </c>
      <c r="BJ150" s="70"/>
      <c r="BL150" s="39">
        <v>8</v>
      </c>
      <c r="BM150" s="45">
        <v>15</v>
      </c>
      <c r="BN150" s="11"/>
      <c r="BO150" s="15" t="s">
        <v>49</v>
      </c>
      <c r="BP150" s="15"/>
      <c r="BQ150" s="15"/>
      <c r="BR150" s="75">
        <v>0</v>
      </c>
      <c r="BS150" s="70"/>
      <c r="BU150" s="39">
        <v>8</v>
      </c>
      <c r="BV150" s="45">
        <v>15</v>
      </c>
      <c r="BW150" s="11"/>
      <c r="BX150" s="15" t="s">
        <v>49</v>
      </c>
      <c r="BY150" s="15"/>
      <c r="BZ150" s="15"/>
      <c r="CA150" s="75">
        <v>0</v>
      </c>
      <c r="CB150" s="70"/>
      <c r="CD150" s="39">
        <v>8</v>
      </c>
      <c r="CE150" s="45">
        <v>15</v>
      </c>
      <c r="CF150" s="11"/>
      <c r="CG150" s="15" t="s">
        <v>49</v>
      </c>
      <c r="CH150" s="15"/>
      <c r="CI150" s="15"/>
      <c r="CJ150" s="75">
        <v>0</v>
      </c>
      <c r="CK150" s="70"/>
      <c r="CM150" s="39">
        <v>8</v>
      </c>
      <c r="CN150" s="45">
        <v>15</v>
      </c>
      <c r="CO150" s="11"/>
      <c r="CP150" s="15" t="s">
        <v>49</v>
      </c>
      <c r="CQ150" s="15"/>
      <c r="CR150" s="15"/>
      <c r="CS150" s="75">
        <v>0</v>
      </c>
      <c r="CT150" s="86"/>
      <c r="CV150" s="39">
        <v>8</v>
      </c>
      <c r="CW150" s="45">
        <v>15</v>
      </c>
      <c r="CX150" s="11"/>
      <c r="CY150" s="18" t="s">
        <v>49</v>
      </c>
      <c r="CZ150" s="15"/>
      <c r="DA150" s="15"/>
      <c r="DB150" s="75">
        <v>0</v>
      </c>
      <c r="DC150" s="86"/>
      <c r="DE150" s="39">
        <v>8</v>
      </c>
      <c r="DF150" s="45">
        <v>15</v>
      </c>
      <c r="DG150" s="11"/>
      <c r="DH150" s="18" t="s">
        <v>49</v>
      </c>
      <c r="DI150" s="15"/>
      <c r="DJ150" s="15"/>
      <c r="DK150" s="75">
        <v>0</v>
      </c>
      <c r="DL150" s="86"/>
      <c r="DN150" s="39">
        <v>8</v>
      </c>
      <c r="DO150" s="45">
        <v>15</v>
      </c>
      <c r="DP150" s="11"/>
      <c r="DQ150" s="15" t="s">
        <v>49</v>
      </c>
      <c r="DR150" s="15"/>
      <c r="DS150" s="15"/>
      <c r="DT150" s="75">
        <v>0</v>
      </c>
      <c r="DU150" s="86"/>
      <c r="DX150" s="88"/>
    </row>
    <row r="151" spans="1:128" x14ac:dyDescent="0.25">
      <c r="A151" s="39"/>
      <c r="B151" s="46" t="s">
        <v>8</v>
      </c>
      <c r="C151" s="11"/>
      <c r="D151" s="15">
        <v>7</v>
      </c>
      <c r="E151" s="15">
        <v>5</v>
      </c>
      <c r="F151" s="15">
        <v>3</v>
      </c>
      <c r="G151" s="43">
        <f t="shared" si="103"/>
        <v>54.6</v>
      </c>
      <c r="H151" s="70"/>
      <c r="J151" s="39">
        <v>9</v>
      </c>
      <c r="K151" s="46" t="s">
        <v>8</v>
      </c>
      <c r="L151" s="11"/>
      <c r="M151" s="15">
        <v>5.9</v>
      </c>
      <c r="N151" s="15">
        <v>4.4000000000000004</v>
      </c>
      <c r="O151" s="15">
        <v>3</v>
      </c>
      <c r="P151" s="43">
        <f t="shared" si="104"/>
        <v>40.497600000000006</v>
      </c>
      <c r="Q151" s="70"/>
      <c r="S151" s="39">
        <v>9</v>
      </c>
      <c r="T151" s="46" t="s">
        <v>8</v>
      </c>
      <c r="U151" s="11"/>
      <c r="V151" s="15">
        <v>7</v>
      </c>
      <c r="W151" s="15">
        <v>7.2</v>
      </c>
      <c r="X151" s="15">
        <v>4.3</v>
      </c>
      <c r="Y151" s="43">
        <f t="shared" si="105"/>
        <v>112.6944</v>
      </c>
      <c r="Z151" s="70"/>
      <c r="AB151" s="39">
        <v>9</v>
      </c>
      <c r="AC151" s="46" t="s">
        <v>8</v>
      </c>
      <c r="AD151" s="11"/>
      <c r="AE151" s="15">
        <v>7.2</v>
      </c>
      <c r="AF151" s="15">
        <v>5.6</v>
      </c>
      <c r="AG151" s="15">
        <v>4.9000000000000004</v>
      </c>
      <c r="AH151" s="43">
        <f t="shared" si="106"/>
        <v>102.73536000000001</v>
      </c>
      <c r="AI151" s="70"/>
      <c r="AK151" s="39">
        <v>9</v>
      </c>
      <c r="AL151" s="46" t="s">
        <v>8</v>
      </c>
      <c r="AM151" s="11"/>
      <c r="AN151" s="15">
        <v>6.6</v>
      </c>
      <c r="AO151" s="15">
        <v>7</v>
      </c>
      <c r="AP151" s="15">
        <v>5</v>
      </c>
      <c r="AQ151" s="43">
        <f t="shared" si="107"/>
        <v>120.11999999999999</v>
      </c>
      <c r="AR151" s="70"/>
      <c r="AT151" s="39">
        <v>9</v>
      </c>
      <c r="AU151" s="46" t="s">
        <v>8</v>
      </c>
      <c r="AV151" s="11"/>
      <c r="AW151" s="15">
        <v>6</v>
      </c>
      <c r="AX151" s="15">
        <v>7.4</v>
      </c>
      <c r="AY151" s="15">
        <v>4.2</v>
      </c>
      <c r="AZ151" s="43">
        <f t="shared" si="108"/>
        <v>96.969600000000014</v>
      </c>
      <c r="BA151" s="70"/>
      <c r="BC151" s="39">
        <v>9</v>
      </c>
      <c r="BD151" s="46" t="s">
        <v>8</v>
      </c>
      <c r="BE151" s="11"/>
      <c r="BF151" s="15">
        <v>7</v>
      </c>
      <c r="BG151" s="15">
        <v>7</v>
      </c>
      <c r="BH151" s="15">
        <v>5</v>
      </c>
      <c r="BI151" s="43">
        <f t="shared" si="109"/>
        <v>127.4</v>
      </c>
      <c r="BJ151" s="70"/>
      <c r="BL151" s="39">
        <v>9</v>
      </c>
      <c r="BM151" s="46" t="s">
        <v>8</v>
      </c>
      <c r="BN151" s="11"/>
      <c r="BO151" s="15">
        <v>11</v>
      </c>
      <c r="BP151" s="15">
        <v>6</v>
      </c>
      <c r="BQ151" s="15">
        <v>4.7</v>
      </c>
      <c r="BR151" s="43">
        <f t="shared" si="110"/>
        <v>161.304</v>
      </c>
      <c r="BS151" s="70"/>
      <c r="BU151" s="39">
        <v>9</v>
      </c>
      <c r="BV151" s="46" t="s">
        <v>8</v>
      </c>
      <c r="BW151" s="11"/>
      <c r="BX151" s="15">
        <v>12</v>
      </c>
      <c r="BY151" s="15">
        <v>7.4</v>
      </c>
      <c r="BZ151" s="15">
        <v>6.5</v>
      </c>
      <c r="CA151" s="43">
        <f t="shared" si="111"/>
        <v>300.14400000000006</v>
      </c>
      <c r="CB151" s="70"/>
      <c r="CD151" s="39">
        <v>9</v>
      </c>
      <c r="CE151" s="46" t="s">
        <v>8</v>
      </c>
      <c r="CF151" s="11"/>
      <c r="CG151" s="15">
        <v>14</v>
      </c>
      <c r="CH151" s="15">
        <v>9.6</v>
      </c>
      <c r="CI151" s="15">
        <v>6.4</v>
      </c>
      <c r="CJ151" s="43">
        <f t="shared" si="112"/>
        <v>447.28320000000008</v>
      </c>
      <c r="CK151" s="70"/>
      <c r="CM151" s="39">
        <v>9</v>
      </c>
      <c r="CN151" s="46" t="s">
        <v>8</v>
      </c>
      <c r="CO151" s="11"/>
      <c r="CP151" s="15">
        <v>15.8</v>
      </c>
      <c r="CQ151" s="15">
        <v>10.4</v>
      </c>
      <c r="CR151" s="15">
        <v>5.3</v>
      </c>
      <c r="CS151" s="43">
        <f t="shared" si="113"/>
        <v>452.86592000000007</v>
      </c>
      <c r="CT151" s="86"/>
      <c r="CV151" s="39">
        <v>9</v>
      </c>
      <c r="CW151" s="46" t="s">
        <v>8</v>
      </c>
      <c r="CX151" s="11"/>
      <c r="CY151" s="15">
        <v>22</v>
      </c>
      <c r="CZ151" s="15">
        <v>12.8</v>
      </c>
      <c r="DA151" s="15">
        <v>8.8000000000000007</v>
      </c>
      <c r="DB151" s="43">
        <f t="shared" si="114"/>
        <v>1288.6016000000002</v>
      </c>
      <c r="DC151" s="86"/>
      <c r="DE151" s="39">
        <v>9</v>
      </c>
      <c r="DF151" s="46" t="s">
        <v>8</v>
      </c>
      <c r="DG151" s="11"/>
      <c r="DH151" s="15">
        <v>26.5</v>
      </c>
      <c r="DI151" s="15">
        <v>16.8</v>
      </c>
      <c r="DJ151" s="15">
        <v>9.6</v>
      </c>
      <c r="DK151" s="76">
        <f t="shared" ref="DK151" si="117">DH151*DI151*DJ151*0.52</f>
        <v>2222.4384</v>
      </c>
      <c r="DL151" s="86" t="s">
        <v>87</v>
      </c>
      <c r="DN151" s="39">
        <v>9</v>
      </c>
      <c r="DO151" s="46" t="s">
        <v>8</v>
      </c>
      <c r="DP151" s="11"/>
      <c r="DQ151" s="77"/>
      <c r="DR151" s="77"/>
      <c r="DS151" s="77"/>
      <c r="DT151" s="76"/>
      <c r="DU151" s="86" t="s">
        <v>87</v>
      </c>
      <c r="DX151" s="88"/>
    </row>
    <row r="152" spans="1:128" x14ac:dyDescent="0.25">
      <c r="A152" s="20"/>
      <c r="B152" s="20"/>
      <c r="C152" s="21"/>
      <c r="D152" s="22"/>
      <c r="E152" s="22"/>
      <c r="F152" s="22"/>
      <c r="G152" s="21">
        <f>AVERAGE(G143:G151)</f>
        <v>25.422222222222221</v>
      </c>
      <c r="H152" s="21"/>
      <c r="J152" s="20" t="s">
        <v>9</v>
      </c>
      <c r="K152" s="20"/>
      <c r="L152" s="21"/>
      <c r="M152" s="22"/>
      <c r="N152" s="22"/>
      <c r="O152" s="22"/>
      <c r="P152" s="21">
        <f>AVERAGE(P143:P151)</f>
        <v>19.435288888888891</v>
      </c>
      <c r="Q152" s="21"/>
      <c r="S152" s="20" t="s">
        <v>9</v>
      </c>
      <c r="T152" s="20"/>
      <c r="U152" s="21"/>
      <c r="V152" s="22"/>
      <c r="W152" s="22"/>
      <c r="X152" s="22"/>
      <c r="Y152" s="21">
        <f>AVERAGE(Y143:Y151)</f>
        <v>47.343862222222214</v>
      </c>
      <c r="Z152" s="21"/>
      <c r="AB152" s="20" t="s">
        <v>9</v>
      </c>
      <c r="AC152" s="20"/>
      <c r="AD152" s="21"/>
      <c r="AE152" s="22"/>
      <c r="AF152" s="22"/>
      <c r="AG152" s="22"/>
      <c r="AH152" s="21">
        <f>AVERAGE(AH143:AH151)</f>
        <v>52.602968888888896</v>
      </c>
      <c r="AI152" s="21"/>
      <c r="AK152" s="20" t="s">
        <v>9</v>
      </c>
      <c r="AL152" s="20"/>
      <c r="AM152" s="21"/>
      <c r="AN152" s="22"/>
      <c r="AO152" s="22"/>
      <c r="AP152" s="22"/>
      <c r="AQ152" s="21">
        <f>AVERAGE(AQ143:AQ151)</f>
        <v>57.528177777777778</v>
      </c>
      <c r="AR152" s="21"/>
      <c r="AT152" s="20" t="s">
        <v>9</v>
      </c>
      <c r="AU152" s="20"/>
      <c r="AV152" s="21"/>
      <c r="AW152" s="22"/>
      <c r="AX152" s="22"/>
      <c r="AY152" s="22"/>
      <c r="AZ152" s="21">
        <f>AVERAGE(AZ143:AZ151)</f>
        <v>56.021333333333331</v>
      </c>
      <c r="BA152" s="21"/>
      <c r="BC152" s="20" t="s">
        <v>9</v>
      </c>
      <c r="BD152" s="20"/>
      <c r="BE152" s="21"/>
      <c r="BF152" s="22"/>
      <c r="BG152" s="22"/>
      <c r="BH152" s="22"/>
      <c r="BI152" s="21">
        <f>AVERAGE(BI143:BI151)</f>
        <v>63.08871111111111</v>
      </c>
      <c r="BJ152" s="21"/>
      <c r="BL152" s="20" t="s">
        <v>9</v>
      </c>
      <c r="BM152" s="20"/>
      <c r="BN152" s="21"/>
      <c r="BO152" s="22"/>
      <c r="BP152" s="22"/>
      <c r="BQ152" s="22"/>
      <c r="BR152" s="21">
        <f>AVERAGE(BR143:BR151)</f>
        <v>99.941688888888891</v>
      </c>
      <c r="BS152" s="21"/>
      <c r="BU152" s="20" t="s">
        <v>9</v>
      </c>
      <c r="BV152" s="20"/>
      <c r="BW152" s="21"/>
      <c r="BX152" s="22"/>
      <c r="BY152" s="22"/>
      <c r="BZ152" s="22"/>
      <c r="CA152" s="21">
        <f>AVERAGE(CA143:CA151)</f>
        <v>124.94271111111112</v>
      </c>
      <c r="CB152" s="21"/>
      <c r="CD152" s="20" t="s">
        <v>9</v>
      </c>
      <c r="CE152" s="20"/>
      <c r="CF152" s="21"/>
      <c r="CG152" s="22"/>
      <c r="CH152" s="22"/>
      <c r="CI152" s="22"/>
      <c r="CJ152" s="21">
        <f>AVERAGE(CJ143:CJ151)</f>
        <v>324.8243555555556</v>
      </c>
      <c r="CK152" s="21"/>
      <c r="CM152" s="20" t="s">
        <v>9</v>
      </c>
      <c r="CN152" s="20"/>
      <c r="CO152" s="21"/>
      <c r="CP152" s="22"/>
      <c r="CQ152" s="22"/>
      <c r="CR152" s="22"/>
      <c r="CS152" s="21">
        <f>AVERAGE(CS143:CS151)</f>
        <v>180.48264</v>
      </c>
      <c r="CT152" s="21"/>
      <c r="CV152" s="20" t="s">
        <v>9</v>
      </c>
      <c r="CW152" s="20"/>
      <c r="CX152" s="21"/>
      <c r="CY152" s="22"/>
      <c r="CZ152" s="22"/>
      <c r="DA152" s="22"/>
      <c r="DB152" s="21">
        <f>AVERAGE(DB143:DB151)</f>
        <v>556.053225</v>
      </c>
      <c r="DC152" s="21"/>
      <c r="DE152" s="20" t="s">
        <v>9</v>
      </c>
      <c r="DF152" s="20"/>
      <c r="DG152" s="21"/>
      <c r="DH152" s="22"/>
      <c r="DI152" s="22"/>
      <c r="DJ152" s="22"/>
      <c r="DK152" s="21">
        <f>AVERAGE(DK143:DK151)</f>
        <v>342.15479999999997</v>
      </c>
      <c r="DL152" s="21"/>
      <c r="DN152" s="20" t="s">
        <v>9</v>
      </c>
      <c r="DO152" s="20"/>
      <c r="DP152" s="21"/>
      <c r="DQ152" s="22"/>
      <c r="DR152" s="22"/>
      <c r="DS152" s="22"/>
      <c r="DT152" s="21">
        <f>AVERAGE(DT143:DT151)</f>
        <v>72.384</v>
      </c>
      <c r="DU152" s="21"/>
    </row>
    <row r="153" spans="1:128" x14ac:dyDescent="0.25">
      <c r="A153" s="20" t="s">
        <v>10</v>
      </c>
      <c r="B153" s="20"/>
      <c r="C153" s="22"/>
      <c r="D153" s="22"/>
      <c r="E153" s="22"/>
      <c r="F153" s="22"/>
      <c r="G153" s="21">
        <f>AVEDEV(G143:G151)</f>
        <v>10.09185185185185</v>
      </c>
      <c r="H153" s="21"/>
      <c r="J153" s="20" t="s">
        <v>10</v>
      </c>
      <c r="K153" s="20"/>
      <c r="L153" s="22"/>
      <c r="M153" s="22"/>
      <c r="N153" s="22"/>
      <c r="O153" s="22"/>
      <c r="P153" s="21">
        <f>AVEDEV(P143:P151)</f>
        <v>14.314765432098767</v>
      </c>
      <c r="Q153" s="21"/>
      <c r="S153" s="20" t="s">
        <v>10</v>
      </c>
      <c r="T153" s="20"/>
      <c r="U153" s="22"/>
      <c r="V153" s="22"/>
      <c r="W153" s="22"/>
      <c r="X153" s="22"/>
      <c r="Y153" s="21">
        <f>AVEDEV(Y143:Y151)</f>
        <v>25.506513580246917</v>
      </c>
      <c r="Z153" s="21"/>
      <c r="AB153" s="20" t="s">
        <v>10</v>
      </c>
      <c r="AC153" s="20"/>
      <c r="AD153" s="22"/>
      <c r="AE153" s="22"/>
      <c r="AF153" s="22"/>
      <c r="AG153" s="22"/>
      <c r="AH153" s="21">
        <f>AVEDEV(AH143:AH151)</f>
        <v>36.318854320987654</v>
      </c>
      <c r="AI153" s="21"/>
      <c r="AK153" s="20" t="s">
        <v>10</v>
      </c>
      <c r="AL153" s="20"/>
      <c r="AM153" s="22"/>
      <c r="AN153" s="22"/>
      <c r="AO153" s="22"/>
      <c r="AP153" s="22"/>
      <c r="AQ153" s="21">
        <f>AVEDEV(AQ143:AQ151)</f>
        <v>29.022419753086417</v>
      </c>
      <c r="AR153" s="21"/>
      <c r="AT153" s="20" t="s">
        <v>10</v>
      </c>
      <c r="AU153" s="20"/>
      <c r="AV153" s="22"/>
      <c r="AW153" s="22"/>
      <c r="AX153" s="22"/>
      <c r="AY153" s="22"/>
      <c r="AZ153" s="21">
        <f>AVEDEV(AZ143:AZ151)</f>
        <v>29.574518518518524</v>
      </c>
      <c r="BA153" s="21"/>
      <c r="BC153" s="20" t="s">
        <v>10</v>
      </c>
      <c r="BD153" s="20"/>
      <c r="BE153" s="22"/>
      <c r="BF153" s="22"/>
      <c r="BG153" s="22"/>
      <c r="BH153" s="22"/>
      <c r="BI153" s="21">
        <f>AVEDEV(BI143:BI151)</f>
        <v>46.987456790123453</v>
      </c>
      <c r="BJ153" s="21"/>
      <c r="BL153" s="20" t="s">
        <v>10</v>
      </c>
      <c r="BM153" s="20"/>
      <c r="BN153" s="22"/>
      <c r="BO153" s="22"/>
      <c r="BP153" s="22"/>
      <c r="BQ153" s="22"/>
      <c r="BR153" s="21">
        <f>AVEDEV(BR143:BR151)</f>
        <v>112.80225185185186</v>
      </c>
      <c r="BS153" s="21"/>
      <c r="BU153" s="20" t="s">
        <v>10</v>
      </c>
      <c r="BV153" s="20"/>
      <c r="BW153" s="22"/>
      <c r="BX153" s="22"/>
      <c r="BY153" s="22"/>
      <c r="BZ153" s="22"/>
      <c r="CA153" s="21">
        <f>AVEDEV(CA143:CA151)</f>
        <v>163.47028148148149</v>
      </c>
      <c r="CB153" s="21"/>
      <c r="CD153" s="20" t="s">
        <v>10</v>
      </c>
      <c r="CE153" s="20"/>
      <c r="CF153" s="22"/>
      <c r="CG153" s="22"/>
      <c r="CH153" s="22"/>
      <c r="CI153" s="22"/>
      <c r="CJ153" s="21">
        <f>AVEDEV(CJ143:CJ151)</f>
        <v>429.97914074074077</v>
      </c>
      <c r="CK153" s="21"/>
      <c r="CM153" s="20" t="s">
        <v>10</v>
      </c>
      <c r="CN153" s="20"/>
      <c r="CO153" s="22"/>
      <c r="CP153" s="22"/>
      <c r="CQ153" s="22"/>
      <c r="CR153" s="22"/>
      <c r="CS153" s="21">
        <f>AVEDEV(CS143:CS151)</f>
        <v>257.72395999999998</v>
      </c>
      <c r="CT153" s="21"/>
      <c r="CV153" s="20" t="s">
        <v>10</v>
      </c>
      <c r="CW153" s="20"/>
      <c r="CX153" s="22"/>
      <c r="CY153" s="22"/>
      <c r="CZ153" s="22"/>
      <c r="DA153" s="22"/>
      <c r="DB153" s="21">
        <f>AVEDEV(DB143:DB151)</f>
        <v>794.99247749999995</v>
      </c>
      <c r="DC153" s="21"/>
      <c r="DE153" s="20" t="s">
        <v>10</v>
      </c>
      <c r="DF153" s="20"/>
      <c r="DG153" s="22"/>
      <c r="DH153" s="22"/>
      <c r="DI153" s="22"/>
      <c r="DJ153" s="22"/>
      <c r="DK153" s="21">
        <f>AVEDEV(DK143:DK151)</f>
        <v>537.22388571428576</v>
      </c>
      <c r="DL153" s="21"/>
      <c r="DN153" s="20" t="s">
        <v>10</v>
      </c>
      <c r="DO153" s="20"/>
      <c r="DP153" s="22"/>
      <c r="DQ153" s="22"/>
      <c r="DR153" s="22"/>
      <c r="DS153" s="22"/>
      <c r="DT153" s="21">
        <f>AVEDEV(DT143:DT151)</f>
        <v>120.63999999999999</v>
      </c>
      <c r="DU153" s="21"/>
    </row>
    <row r="156" spans="1:128" x14ac:dyDescent="0.25">
      <c r="A156" s="48" t="s">
        <v>32</v>
      </c>
      <c r="B156" s="48"/>
      <c r="G156" s="5" t="s">
        <v>42</v>
      </c>
      <c r="J156" s="48" t="s">
        <v>32</v>
      </c>
      <c r="K156" s="48"/>
      <c r="P156" s="5" t="s">
        <v>45</v>
      </c>
      <c r="S156" s="48" t="s">
        <v>32</v>
      </c>
      <c r="T156" s="48"/>
      <c r="Y156" s="5" t="s">
        <v>54</v>
      </c>
      <c r="AB156" s="48" t="s">
        <v>32</v>
      </c>
      <c r="AC156" s="48"/>
      <c r="AH156" s="5" t="s">
        <v>59</v>
      </c>
      <c r="AK156" s="48" t="s">
        <v>32</v>
      </c>
      <c r="AL156" s="48"/>
      <c r="AQ156" s="5"/>
      <c r="AT156" s="48" t="s">
        <v>32</v>
      </c>
      <c r="AU156" s="48"/>
      <c r="AZ156" s="5"/>
      <c r="BC156" s="48" t="s">
        <v>32</v>
      </c>
      <c r="BD156" s="48"/>
      <c r="BL156" s="48" t="s">
        <v>32</v>
      </c>
      <c r="BM156" s="48"/>
      <c r="BR156" s="5"/>
      <c r="BU156" s="48" t="s">
        <v>32</v>
      </c>
      <c r="BV156" s="48"/>
      <c r="CA156" s="5"/>
      <c r="CD156" s="48" t="s">
        <v>32</v>
      </c>
      <c r="CE156" s="48"/>
      <c r="CJ156" s="5"/>
      <c r="CM156" s="48" t="s">
        <v>32</v>
      </c>
      <c r="CN156" s="48"/>
      <c r="CS156" s="5"/>
      <c r="CV156" s="48" t="s">
        <v>32</v>
      </c>
      <c r="CW156" s="48"/>
      <c r="DB156" s="5"/>
      <c r="DE156" s="48" t="s">
        <v>32</v>
      </c>
      <c r="DF156" s="48"/>
      <c r="DK156" s="5"/>
      <c r="DN156" s="48" t="s">
        <v>32</v>
      </c>
      <c r="DO156" s="48"/>
      <c r="DT156" s="5"/>
    </row>
    <row r="157" spans="1:128" x14ac:dyDescent="0.25">
      <c r="A157" s="49"/>
      <c r="B157" s="49"/>
      <c r="G157" s="7" t="s">
        <v>23</v>
      </c>
      <c r="J157" s="49"/>
      <c r="K157" s="49"/>
      <c r="P157" s="7" t="s">
        <v>43</v>
      </c>
      <c r="S157" s="49"/>
      <c r="T157" s="49"/>
      <c r="Y157" s="7" t="s">
        <v>50</v>
      </c>
      <c r="AB157" s="49"/>
      <c r="AC157" s="49"/>
      <c r="AH157" s="7" t="s">
        <v>58</v>
      </c>
      <c r="AK157" s="49"/>
      <c r="AL157" s="49"/>
      <c r="AQ157" s="7" t="s">
        <v>63</v>
      </c>
      <c r="AT157" s="49"/>
      <c r="AU157" s="49"/>
      <c r="AZ157" s="7" t="s">
        <v>66</v>
      </c>
      <c r="BC157" s="49"/>
      <c r="BD157" s="49"/>
      <c r="BI157" s="7" t="s">
        <v>69</v>
      </c>
      <c r="BL157" s="49"/>
      <c r="BM157" s="49"/>
      <c r="BR157" s="7" t="s">
        <v>71</v>
      </c>
      <c r="BU157" s="49"/>
      <c r="BV157" s="49"/>
      <c r="CA157" s="7" t="s">
        <v>75</v>
      </c>
      <c r="CD157" s="49"/>
      <c r="CE157" s="49"/>
      <c r="CJ157" s="7" t="s">
        <v>77</v>
      </c>
      <c r="CM157" s="49"/>
      <c r="CN157" s="49"/>
      <c r="CS157" s="7" t="s">
        <v>81</v>
      </c>
      <c r="CV157" s="49"/>
      <c r="CW157" s="49"/>
      <c r="DB157" s="7" t="s">
        <v>84</v>
      </c>
      <c r="DE157" s="49"/>
      <c r="DF157" s="49"/>
      <c r="DK157" s="7" t="s">
        <v>86</v>
      </c>
      <c r="DN157" s="49"/>
      <c r="DO157" s="49"/>
      <c r="DT157" s="7" t="s">
        <v>88</v>
      </c>
    </row>
    <row r="158" spans="1:128" x14ac:dyDescent="0.25">
      <c r="A158" s="48" t="s">
        <v>33</v>
      </c>
      <c r="B158" s="48"/>
      <c r="J158" s="48" t="s">
        <v>33</v>
      </c>
      <c r="K158" s="48"/>
      <c r="S158" s="48" t="s">
        <v>33</v>
      </c>
      <c r="T158" s="48"/>
      <c r="AB158" s="48" t="s">
        <v>33</v>
      </c>
      <c r="AC158" s="48"/>
      <c r="AK158" s="48" t="s">
        <v>33</v>
      </c>
      <c r="AL158" s="48"/>
      <c r="AT158" s="48" t="s">
        <v>33</v>
      </c>
      <c r="AU158" s="48"/>
      <c r="BC158" s="48" t="s">
        <v>33</v>
      </c>
      <c r="BD158" s="48"/>
      <c r="BL158" s="48" t="s">
        <v>33</v>
      </c>
      <c r="BM158" s="48"/>
      <c r="BU158" s="48" t="s">
        <v>33</v>
      </c>
      <c r="BV158" s="48"/>
      <c r="CD158" s="48" t="s">
        <v>33</v>
      </c>
      <c r="CE158" s="48"/>
      <c r="CM158" s="48" t="s">
        <v>33</v>
      </c>
      <c r="CN158" s="48"/>
      <c r="CV158" s="48" t="s">
        <v>33</v>
      </c>
      <c r="CW158" s="48"/>
      <c r="DE158" s="48" t="s">
        <v>33</v>
      </c>
      <c r="DF158" s="48"/>
      <c r="DN158" s="48" t="s">
        <v>33</v>
      </c>
      <c r="DO158" s="48"/>
    </row>
    <row r="159" spans="1:128" x14ac:dyDescent="0.25">
      <c r="A159" s="49"/>
      <c r="B159" s="49"/>
      <c r="C159" s="9">
        <v>45810</v>
      </c>
      <c r="J159" s="49"/>
      <c r="K159" s="49"/>
      <c r="L159" s="9">
        <v>45813</v>
      </c>
      <c r="S159" s="49"/>
      <c r="T159" s="49"/>
      <c r="U159" s="9">
        <v>45816</v>
      </c>
      <c r="AB159" s="49"/>
      <c r="AC159" s="49"/>
      <c r="AD159" s="9">
        <v>45819</v>
      </c>
      <c r="AE159" s="9"/>
      <c r="AF159" s="9"/>
      <c r="AG159" s="9"/>
      <c r="AK159" s="49"/>
      <c r="AL159" s="49"/>
      <c r="AM159" s="9">
        <v>45822</v>
      </c>
      <c r="AT159" s="49"/>
      <c r="AU159" s="49"/>
      <c r="AV159" s="9">
        <v>45825</v>
      </c>
      <c r="BC159" s="49"/>
      <c r="BD159" s="49"/>
      <c r="BE159" s="9">
        <v>45828</v>
      </c>
      <c r="BF159" s="9"/>
      <c r="BG159" s="9"/>
      <c r="BH159" s="9"/>
      <c r="BL159" s="49"/>
      <c r="BM159" s="49"/>
      <c r="BN159" s="9">
        <v>45832</v>
      </c>
      <c r="BO159" s="9"/>
      <c r="BP159" s="9"/>
      <c r="BQ159" s="9"/>
      <c r="BU159" s="49"/>
      <c r="BV159" s="49"/>
      <c r="BW159" s="9">
        <v>45836</v>
      </c>
      <c r="CD159" s="49"/>
      <c r="CE159" s="49"/>
      <c r="CF159" s="9">
        <v>45839</v>
      </c>
      <c r="CM159" s="49"/>
      <c r="CN159" s="49"/>
      <c r="CO159" s="9">
        <v>45844</v>
      </c>
      <c r="CV159" s="49"/>
      <c r="CW159" s="49"/>
      <c r="CX159" s="9">
        <v>45849</v>
      </c>
      <c r="DE159" s="49"/>
      <c r="DF159" s="49"/>
      <c r="DG159" s="9">
        <v>45855</v>
      </c>
      <c r="DN159" s="49"/>
      <c r="DO159" s="49"/>
      <c r="DP159" s="9">
        <v>45859</v>
      </c>
    </row>
    <row r="160" spans="1:128" x14ac:dyDescent="0.25">
      <c r="A160" s="50"/>
      <c r="B160" s="50"/>
      <c r="C160" s="11"/>
      <c r="D160" s="11" t="s">
        <v>3</v>
      </c>
      <c r="E160" s="11" t="s">
        <v>4</v>
      </c>
      <c r="F160" s="11" t="s">
        <v>5</v>
      </c>
      <c r="G160" s="51" t="s">
        <v>6</v>
      </c>
      <c r="H160" s="52" t="s">
        <v>7</v>
      </c>
      <c r="J160" s="50"/>
      <c r="K160" s="50"/>
      <c r="L160" s="11"/>
      <c r="M160" s="11" t="s">
        <v>3</v>
      </c>
      <c r="N160" s="11" t="s">
        <v>4</v>
      </c>
      <c r="O160" s="11" t="s">
        <v>5</v>
      </c>
      <c r="P160" s="51" t="s">
        <v>6</v>
      </c>
      <c r="Q160" s="52" t="s">
        <v>7</v>
      </c>
      <c r="S160" s="50"/>
      <c r="T160" s="50"/>
      <c r="U160" s="11"/>
      <c r="V160" s="11" t="s">
        <v>3</v>
      </c>
      <c r="W160" s="11" t="s">
        <v>4</v>
      </c>
      <c r="X160" s="11" t="s">
        <v>5</v>
      </c>
      <c r="Y160" s="51" t="s">
        <v>6</v>
      </c>
      <c r="Z160" s="52" t="s">
        <v>7</v>
      </c>
      <c r="AB160" s="50"/>
      <c r="AC160" s="50"/>
      <c r="AD160" s="11"/>
      <c r="AE160" s="11" t="s">
        <v>3</v>
      </c>
      <c r="AF160" s="11" t="s">
        <v>4</v>
      </c>
      <c r="AG160" s="11" t="s">
        <v>5</v>
      </c>
      <c r="AH160" s="51" t="s">
        <v>6</v>
      </c>
      <c r="AI160" s="52" t="s">
        <v>7</v>
      </c>
      <c r="AK160" s="50"/>
      <c r="AL160" s="50"/>
      <c r="AM160" s="11"/>
      <c r="AN160" s="11" t="s">
        <v>3</v>
      </c>
      <c r="AO160" s="11" t="s">
        <v>4</v>
      </c>
      <c r="AP160" s="11" t="s">
        <v>5</v>
      </c>
      <c r="AQ160" s="51" t="s">
        <v>6</v>
      </c>
      <c r="AR160" s="52" t="s">
        <v>7</v>
      </c>
      <c r="AT160" s="50"/>
      <c r="AU160" s="50"/>
      <c r="AV160" s="11"/>
      <c r="AW160" s="11" t="s">
        <v>3</v>
      </c>
      <c r="AX160" s="11" t="s">
        <v>4</v>
      </c>
      <c r="AY160" s="11" t="s">
        <v>5</v>
      </c>
      <c r="AZ160" s="51" t="s">
        <v>6</v>
      </c>
      <c r="BA160" s="52" t="s">
        <v>7</v>
      </c>
      <c r="BC160" s="50"/>
      <c r="BD160" s="50"/>
      <c r="BE160" s="11"/>
      <c r="BF160" s="11" t="s">
        <v>3</v>
      </c>
      <c r="BG160" s="11" t="s">
        <v>4</v>
      </c>
      <c r="BH160" s="11" t="s">
        <v>5</v>
      </c>
      <c r="BI160" s="51" t="s">
        <v>6</v>
      </c>
      <c r="BJ160" s="52" t="s">
        <v>7</v>
      </c>
      <c r="BL160" s="50"/>
      <c r="BM160" s="50"/>
      <c r="BN160" s="11"/>
      <c r="BO160" s="11" t="s">
        <v>3</v>
      </c>
      <c r="BP160" s="11" t="s">
        <v>4</v>
      </c>
      <c r="BQ160" s="11" t="s">
        <v>5</v>
      </c>
      <c r="BR160" s="51" t="s">
        <v>6</v>
      </c>
      <c r="BS160" s="52"/>
      <c r="BU160" s="50"/>
      <c r="BV160" s="50"/>
      <c r="BW160" s="11"/>
      <c r="BX160" s="11" t="s">
        <v>3</v>
      </c>
      <c r="BY160" s="11" t="s">
        <v>4</v>
      </c>
      <c r="BZ160" s="11" t="s">
        <v>5</v>
      </c>
      <c r="CA160" s="51" t="s">
        <v>6</v>
      </c>
      <c r="CB160" s="52"/>
      <c r="CD160" s="50"/>
      <c r="CE160" s="50"/>
      <c r="CF160" s="11"/>
      <c r="CG160" s="11" t="s">
        <v>3</v>
      </c>
      <c r="CH160" s="11" t="s">
        <v>4</v>
      </c>
      <c r="CI160" s="11" t="s">
        <v>5</v>
      </c>
      <c r="CJ160" s="51" t="s">
        <v>6</v>
      </c>
      <c r="CK160" s="52"/>
      <c r="CM160" s="50"/>
      <c r="CN160" s="50"/>
      <c r="CO160" s="11"/>
      <c r="CP160" s="11" t="s">
        <v>3</v>
      </c>
      <c r="CQ160" s="11" t="s">
        <v>4</v>
      </c>
      <c r="CR160" s="11" t="s">
        <v>5</v>
      </c>
      <c r="CS160" s="51" t="s">
        <v>6</v>
      </c>
      <c r="CT160" s="52"/>
      <c r="CV160" s="50"/>
      <c r="CW160" s="50"/>
      <c r="CX160" s="11"/>
      <c r="CY160" s="11" t="s">
        <v>3</v>
      </c>
      <c r="CZ160" s="11" t="s">
        <v>4</v>
      </c>
      <c r="DA160" s="11" t="s">
        <v>5</v>
      </c>
      <c r="DB160" s="51" t="s">
        <v>6</v>
      </c>
      <c r="DC160" s="52"/>
      <c r="DE160" s="50"/>
      <c r="DF160" s="50"/>
      <c r="DG160" s="11"/>
      <c r="DH160" s="11" t="s">
        <v>3</v>
      </c>
      <c r="DI160" s="11" t="s">
        <v>4</v>
      </c>
      <c r="DJ160" s="11" t="s">
        <v>5</v>
      </c>
      <c r="DK160" s="51" t="s">
        <v>6</v>
      </c>
      <c r="DL160" s="52"/>
      <c r="DN160" s="50"/>
      <c r="DO160" s="50"/>
      <c r="DP160" s="11"/>
      <c r="DQ160" s="11" t="s">
        <v>3</v>
      </c>
      <c r="DR160" s="11" t="s">
        <v>4</v>
      </c>
      <c r="DS160" s="11" t="s">
        <v>5</v>
      </c>
      <c r="DT160" s="51" t="s">
        <v>6</v>
      </c>
      <c r="DU160" s="52"/>
    </row>
    <row r="161" spans="1:128" x14ac:dyDescent="0.25">
      <c r="A161" s="50">
        <v>1</v>
      </c>
      <c r="B161" s="50">
        <v>1</v>
      </c>
      <c r="C161" s="11"/>
      <c r="D161" s="18">
        <v>3</v>
      </c>
      <c r="E161" s="15">
        <v>3</v>
      </c>
      <c r="F161" s="15">
        <v>3</v>
      </c>
      <c r="G161" s="53">
        <f>D161*E161*F161*0.52</f>
        <v>14.040000000000001</v>
      </c>
      <c r="H161" s="53"/>
      <c r="J161" s="50">
        <v>1</v>
      </c>
      <c r="K161" s="50">
        <v>1</v>
      </c>
      <c r="L161" s="11"/>
      <c r="M161" s="18">
        <v>4.8</v>
      </c>
      <c r="N161" s="15">
        <v>4</v>
      </c>
      <c r="O161" s="15">
        <v>2.5</v>
      </c>
      <c r="P161" s="53">
        <f>M161*N161*O161*0.52</f>
        <v>24.96</v>
      </c>
      <c r="Q161" s="53"/>
      <c r="S161" s="50">
        <v>1</v>
      </c>
      <c r="T161" s="50">
        <v>1</v>
      </c>
      <c r="U161" s="11"/>
      <c r="V161" s="18">
        <v>6</v>
      </c>
      <c r="W161" s="15">
        <v>6</v>
      </c>
      <c r="X161" s="15">
        <v>3</v>
      </c>
      <c r="Y161" s="53">
        <f>V161*W161*X161*0.52</f>
        <v>56.160000000000004</v>
      </c>
      <c r="Z161" s="53"/>
      <c r="AB161" s="50">
        <v>1</v>
      </c>
      <c r="AC161" s="50">
        <v>1</v>
      </c>
      <c r="AD161" s="11"/>
      <c r="AE161" s="18">
        <v>7.5</v>
      </c>
      <c r="AF161" s="15">
        <v>5.7</v>
      </c>
      <c r="AG161" s="15">
        <v>3</v>
      </c>
      <c r="AH161" s="53">
        <f>AE161*AF161*AG161*0.52</f>
        <v>66.69</v>
      </c>
      <c r="AI161" s="53"/>
      <c r="AK161" s="50">
        <v>1</v>
      </c>
      <c r="AL161" s="50">
        <v>1</v>
      </c>
      <c r="AM161" s="11"/>
      <c r="AN161" s="18">
        <v>5</v>
      </c>
      <c r="AO161" s="15">
        <v>5</v>
      </c>
      <c r="AP161" s="15">
        <v>3</v>
      </c>
      <c r="AQ161" s="53">
        <f>AN161*AO161*AP161*0.52</f>
        <v>39</v>
      </c>
      <c r="AR161" s="53"/>
      <c r="AT161" s="50">
        <v>1</v>
      </c>
      <c r="AU161" s="50">
        <v>1</v>
      </c>
      <c r="AV161" s="11"/>
      <c r="AW161" s="18">
        <v>6.2</v>
      </c>
      <c r="AX161" s="15">
        <v>6.2</v>
      </c>
      <c r="AY161" s="15">
        <v>2</v>
      </c>
      <c r="AZ161" s="53">
        <f>AW161*AX161*AY161*0.52</f>
        <v>39.97760000000001</v>
      </c>
      <c r="BA161" s="53"/>
      <c r="BC161" s="50">
        <v>1</v>
      </c>
      <c r="BD161" s="50">
        <v>1</v>
      </c>
      <c r="BE161" s="11"/>
      <c r="BF161" s="18">
        <v>6</v>
      </c>
      <c r="BG161" s="15">
        <v>7</v>
      </c>
      <c r="BH161" s="15">
        <v>4</v>
      </c>
      <c r="BI161" s="53">
        <f>BF161*BG161*BH161*0.52</f>
        <v>87.36</v>
      </c>
      <c r="BJ161" s="53"/>
      <c r="BL161" s="50">
        <v>1</v>
      </c>
      <c r="BM161" s="50">
        <v>1</v>
      </c>
      <c r="BN161" s="11"/>
      <c r="BO161" s="18" t="s">
        <v>49</v>
      </c>
      <c r="BP161" s="15"/>
      <c r="BQ161" s="15"/>
      <c r="BR161" s="75">
        <v>0</v>
      </c>
      <c r="BS161" s="53"/>
      <c r="BU161" s="50">
        <v>1</v>
      </c>
      <c r="BV161" s="50">
        <v>1</v>
      </c>
      <c r="BW161" s="11"/>
      <c r="BX161" s="18">
        <v>5</v>
      </c>
      <c r="BY161" s="15">
        <v>5</v>
      </c>
      <c r="BZ161" s="15">
        <v>3</v>
      </c>
      <c r="CA161" s="53">
        <f>BX161*BY161*BZ161*0.52</f>
        <v>39</v>
      </c>
      <c r="CB161" s="53"/>
      <c r="CD161" s="50">
        <v>1</v>
      </c>
      <c r="CE161" s="50">
        <v>1</v>
      </c>
      <c r="CF161" s="11"/>
      <c r="CG161" s="18">
        <v>8</v>
      </c>
      <c r="CH161" s="15">
        <v>6</v>
      </c>
      <c r="CI161" s="15">
        <v>4</v>
      </c>
      <c r="CJ161" s="53">
        <f>CG161*CH161*CI161*0.52</f>
        <v>99.84</v>
      </c>
      <c r="CK161" s="53"/>
      <c r="CM161" s="50">
        <v>1</v>
      </c>
      <c r="CN161" s="50">
        <v>1</v>
      </c>
      <c r="CO161" s="11"/>
      <c r="CP161" s="18">
        <v>8</v>
      </c>
      <c r="CQ161" s="15">
        <v>5.7</v>
      </c>
      <c r="CR161" s="15">
        <v>3.5</v>
      </c>
      <c r="CS161" s="53">
        <f>CP161*CQ161*CR161*0.52</f>
        <v>82.992000000000004</v>
      </c>
      <c r="CT161" s="53"/>
      <c r="CV161" s="50">
        <v>1</v>
      </c>
      <c r="CW161" s="50">
        <v>1</v>
      </c>
      <c r="CX161" s="11"/>
      <c r="CY161" s="18">
        <v>14.9</v>
      </c>
      <c r="CZ161" s="15">
        <v>9.6</v>
      </c>
      <c r="DA161" s="15">
        <v>7.5</v>
      </c>
      <c r="DB161" s="53">
        <f>CY161*CZ161*DA161*0.52</f>
        <v>557.85599999999999</v>
      </c>
      <c r="DC161" s="53"/>
      <c r="DE161" s="50">
        <v>1</v>
      </c>
      <c r="DF161" s="50">
        <v>1</v>
      </c>
      <c r="DG161" s="11"/>
      <c r="DH161" s="18">
        <v>17.2</v>
      </c>
      <c r="DI161" s="15">
        <v>15.8</v>
      </c>
      <c r="DJ161" s="15">
        <v>12.1</v>
      </c>
      <c r="DK161" s="53">
        <f>DH161*DI161*DJ161*0.52</f>
        <v>1709.91392</v>
      </c>
      <c r="DL161" s="53"/>
      <c r="DN161" s="50">
        <v>1</v>
      </c>
      <c r="DO161" s="50">
        <v>1</v>
      </c>
      <c r="DP161" s="11"/>
      <c r="DQ161" s="18">
        <v>19.8</v>
      </c>
      <c r="DR161" s="15">
        <v>18.8</v>
      </c>
      <c r="DS161" s="15">
        <v>14.5</v>
      </c>
      <c r="DT161" s="76">
        <f>DQ161*DR161*DS161*0.52</f>
        <v>2806.6896000000002</v>
      </c>
      <c r="DU161" s="53" t="s">
        <v>89</v>
      </c>
      <c r="DX161">
        <v>46</v>
      </c>
    </row>
    <row r="162" spans="1:128" x14ac:dyDescent="0.25">
      <c r="A162" s="50">
        <v>2</v>
      </c>
      <c r="B162" s="50">
        <v>2</v>
      </c>
      <c r="C162" s="11"/>
      <c r="D162" s="15">
        <v>5</v>
      </c>
      <c r="E162" s="15">
        <v>5</v>
      </c>
      <c r="F162" s="15">
        <v>3</v>
      </c>
      <c r="G162" s="53">
        <f t="shared" ref="G162:G168" si="118">D162*E162*F162*0.52</f>
        <v>39</v>
      </c>
      <c r="H162" s="53"/>
      <c r="J162" s="50">
        <v>2</v>
      </c>
      <c r="K162" s="50">
        <v>2</v>
      </c>
      <c r="L162" s="11"/>
      <c r="M162" s="15">
        <v>5.5</v>
      </c>
      <c r="N162" s="15">
        <v>5.5</v>
      </c>
      <c r="O162" s="15">
        <v>3.3</v>
      </c>
      <c r="P162" s="53">
        <f t="shared" ref="P162:P169" si="119">M162*N162*O162*0.52</f>
        <v>51.908999999999999</v>
      </c>
      <c r="Q162" s="53"/>
      <c r="S162" s="50">
        <v>2</v>
      </c>
      <c r="T162" s="50">
        <v>2</v>
      </c>
      <c r="U162" s="11"/>
      <c r="V162" s="15">
        <v>9.5</v>
      </c>
      <c r="W162" s="15">
        <v>7.9</v>
      </c>
      <c r="X162" s="15">
        <v>3</v>
      </c>
      <c r="Y162" s="53">
        <f t="shared" ref="Y162:Y169" si="120">V162*W162*X162*0.52</f>
        <v>117.07799999999999</v>
      </c>
      <c r="Z162" s="53"/>
      <c r="AB162" s="50">
        <v>2</v>
      </c>
      <c r="AC162" s="50">
        <v>2</v>
      </c>
      <c r="AD162" s="11"/>
      <c r="AE162" s="15">
        <v>7.2</v>
      </c>
      <c r="AF162" s="15">
        <v>6.9</v>
      </c>
      <c r="AG162" s="15">
        <v>2.6</v>
      </c>
      <c r="AH162" s="53">
        <f t="shared" ref="AH162:AH169" si="121">AE162*AF162*AG162*0.52</f>
        <v>67.167360000000016</v>
      </c>
      <c r="AI162" s="53"/>
      <c r="AK162" s="50">
        <v>2</v>
      </c>
      <c r="AL162" s="50">
        <v>2</v>
      </c>
      <c r="AM162" s="11"/>
      <c r="AN162" s="15">
        <v>7</v>
      </c>
      <c r="AO162" s="15">
        <v>7</v>
      </c>
      <c r="AP162" s="15">
        <v>3</v>
      </c>
      <c r="AQ162" s="53">
        <f t="shared" ref="AQ162:AQ169" si="122">AN162*AO162*AP162*0.52</f>
        <v>76.44</v>
      </c>
      <c r="AR162" s="53"/>
      <c r="AT162" s="50">
        <v>2</v>
      </c>
      <c r="AU162" s="50">
        <v>2</v>
      </c>
      <c r="AV162" s="11"/>
      <c r="AW162" s="15">
        <v>6</v>
      </c>
      <c r="AX162" s="15">
        <v>6</v>
      </c>
      <c r="AY162" s="15">
        <v>3</v>
      </c>
      <c r="AZ162" s="53">
        <f t="shared" ref="AZ162:AZ169" si="123">AW162*AX162*AY162*0.52</f>
        <v>56.160000000000004</v>
      </c>
      <c r="BA162" s="53"/>
      <c r="BC162" s="50">
        <v>2</v>
      </c>
      <c r="BD162" s="50">
        <v>2</v>
      </c>
      <c r="BE162" s="11"/>
      <c r="BF162" s="15">
        <v>5</v>
      </c>
      <c r="BG162" s="15">
        <v>5</v>
      </c>
      <c r="BH162" s="15">
        <v>3</v>
      </c>
      <c r="BI162" s="53">
        <f t="shared" ref="BI162:BI169" si="124">BF162*BG162*BH162*0.52</f>
        <v>39</v>
      </c>
      <c r="BJ162" s="53"/>
      <c r="BL162" s="50">
        <v>2</v>
      </c>
      <c r="BM162" s="50">
        <v>2</v>
      </c>
      <c r="BN162" s="11"/>
      <c r="BO162" s="15">
        <v>3</v>
      </c>
      <c r="BP162" s="15">
        <v>3</v>
      </c>
      <c r="BQ162" s="15">
        <v>3</v>
      </c>
      <c r="BR162" s="53">
        <f t="shared" ref="BR162:BR168" si="125">BO162*BP162*BQ162*0.52</f>
        <v>14.040000000000001</v>
      </c>
      <c r="BS162" s="53"/>
      <c r="BU162" s="50">
        <v>2</v>
      </c>
      <c r="BV162" s="50">
        <v>2</v>
      </c>
      <c r="BW162" s="11"/>
      <c r="BX162" s="15" t="s">
        <v>49</v>
      </c>
      <c r="BY162" s="15"/>
      <c r="BZ162" s="15"/>
      <c r="CA162" s="75">
        <v>0</v>
      </c>
      <c r="CB162" s="53"/>
      <c r="CD162" s="50">
        <v>2</v>
      </c>
      <c r="CE162" s="50">
        <v>2</v>
      </c>
      <c r="CF162" s="11"/>
      <c r="CG162" s="15" t="s">
        <v>49</v>
      </c>
      <c r="CH162" s="15"/>
      <c r="CI162" s="15"/>
      <c r="CJ162" s="75">
        <v>0</v>
      </c>
      <c r="CK162" s="53"/>
      <c r="CM162" s="50">
        <v>2</v>
      </c>
      <c r="CN162" s="50">
        <v>2</v>
      </c>
      <c r="CO162" s="11"/>
      <c r="CP162" s="15" t="s">
        <v>49</v>
      </c>
      <c r="CQ162" s="15"/>
      <c r="CR162" s="15"/>
      <c r="CS162" s="75">
        <v>0</v>
      </c>
      <c r="CT162" s="53"/>
      <c r="CV162" s="50">
        <v>2</v>
      </c>
      <c r="CW162" s="50">
        <v>2</v>
      </c>
      <c r="CX162" s="11"/>
      <c r="CY162" s="18" t="s">
        <v>49</v>
      </c>
      <c r="CZ162" s="15"/>
      <c r="DA162" s="15"/>
      <c r="DB162" s="75">
        <v>0</v>
      </c>
      <c r="DC162" s="53"/>
      <c r="DE162" s="50">
        <v>2</v>
      </c>
      <c r="DF162" s="50">
        <v>2</v>
      </c>
      <c r="DG162" s="11"/>
      <c r="DH162" s="18" t="s">
        <v>49</v>
      </c>
      <c r="DI162" s="15"/>
      <c r="DJ162" s="15"/>
      <c r="DK162" s="75">
        <v>0</v>
      </c>
      <c r="DL162" s="53"/>
      <c r="DN162" s="50">
        <v>2</v>
      </c>
      <c r="DO162" s="50">
        <v>2</v>
      </c>
      <c r="DP162" s="11"/>
      <c r="DQ162" s="15" t="s">
        <v>49</v>
      </c>
      <c r="DR162" s="15"/>
      <c r="DS162" s="15"/>
      <c r="DT162" s="75">
        <v>0</v>
      </c>
      <c r="DU162" s="53"/>
      <c r="DX162">
        <v>56</v>
      </c>
    </row>
    <row r="163" spans="1:128" x14ac:dyDescent="0.25">
      <c r="A163" s="50">
        <v>3</v>
      </c>
      <c r="B163" s="50">
        <v>3</v>
      </c>
      <c r="C163" s="11"/>
      <c r="D163" s="18">
        <v>5</v>
      </c>
      <c r="E163" s="15">
        <v>5</v>
      </c>
      <c r="F163" s="15">
        <v>3</v>
      </c>
      <c r="G163" s="53">
        <f t="shared" si="118"/>
        <v>39</v>
      </c>
      <c r="H163" s="53"/>
      <c r="J163" s="50">
        <v>3</v>
      </c>
      <c r="K163" s="50">
        <v>3</v>
      </c>
      <c r="L163" s="11"/>
      <c r="M163" s="18">
        <v>5.9</v>
      </c>
      <c r="N163" s="15">
        <v>5.6</v>
      </c>
      <c r="O163" s="15">
        <v>3</v>
      </c>
      <c r="P163" s="53">
        <f t="shared" si="119"/>
        <v>51.542400000000001</v>
      </c>
      <c r="Q163" s="53"/>
      <c r="S163" s="50">
        <v>3</v>
      </c>
      <c r="T163" s="50">
        <v>3</v>
      </c>
      <c r="U163" s="11"/>
      <c r="V163" s="18">
        <v>10</v>
      </c>
      <c r="W163" s="15">
        <v>7.6</v>
      </c>
      <c r="X163" s="15">
        <v>3.4</v>
      </c>
      <c r="Y163" s="53">
        <f t="shared" si="120"/>
        <v>134.36799999999999</v>
      </c>
      <c r="Z163" s="53"/>
      <c r="AB163" s="50">
        <v>3</v>
      </c>
      <c r="AC163" s="50">
        <v>3</v>
      </c>
      <c r="AD163" s="11"/>
      <c r="AE163" s="18">
        <v>6</v>
      </c>
      <c r="AF163" s="15">
        <v>7</v>
      </c>
      <c r="AG163" s="15">
        <v>3.5</v>
      </c>
      <c r="AH163" s="53">
        <f t="shared" si="121"/>
        <v>76.44</v>
      </c>
      <c r="AI163" s="53"/>
      <c r="AK163" s="50">
        <v>3</v>
      </c>
      <c r="AL163" s="50">
        <v>3</v>
      </c>
      <c r="AM163" s="11"/>
      <c r="AN163" s="18">
        <v>5.8</v>
      </c>
      <c r="AO163" s="15">
        <v>8</v>
      </c>
      <c r="AP163" s="15">
        <v>3</v>
      </c>
      <c r="AQ163" s="53">
        <f t="shared" si="122"/>
        <v>72.384</v>
      </c>
      <c r="AR163" s="53"/>
      <c r="AT163" s="50">
        <v>3</v>
      </c>
      <c r="AU163" s="50">
        <v>3</v>
      </c>
      <c r="AV163" s="11"/>
      <c r="AW163" s="18">
        <v>5</v>
      </c>
      <c r="AX163" s="15">
        <v>5</v>
      </c>
      <c r="AY163" s="15">
        <v>4</v>
      </c>
      <c r="AZ163" s="53">
        <f t="shared" si="123"/>
        <v>52</v>
      </c>
      <c r="BA163" s="53"/>
      <c r="BC163" s="50">
        <v>3</v>
      </c>
      <c r="BD163" s="50">
        <v>3</v>
      </c>
      <c r="BE163" s="11"/>
      <c r="BF163" s="18">
        <v>5</v>
      </c>
      <c r="BG163" s="15">
        <v>5</v>
      </c>
      <c r="BH163" s="15">
        <v>3</v>
      </c>
      <c r="BI163" s="53">
        <f t="shared" si="124"/>
        <v>39</v>
      </c>
      <c r="BJ163" s="53"/>
      <c r="BL163" s="50">
        <v>3</v>
      </c>
      <c r="BM163" s="50">
        <v>3</v>
      </c>
      <c r="BN163" s="11"/>
      <c r="BO163" s="18">
        <v>3</v>
      </c>
      <c r="BP163" s="15">
        <v>3</v>
      </c>
      <c r="BQ163" s="15">
        <v>3</v>
      </c>
      <c r="BR163" s="53">
        <f t="shared" si="125"/>
        <v>14.040000000000001</v>
      </c>
      <c r="BS163" s="53"/>
      <c r="BU163" s="50">
        <v>3</v>
      </c>
      <c r="BV163" s="50">
        <v>3</v>
      </c>
      <c r="BW163" s="11"/>
      <c r="BX163" s="15" t="s">
        <v>49</v>
      </c>
      <c r="BY163" s="15"/>
      <c r="BZ163" s="15"/>
      <c r="CA163" s="75">
        <v>0</v>
      </c>
      <c r="CB163" s="53"/>
      <c r="CD163" s="50">
        <v>3</v>
      </c>
      <c r="CE163" s="50">
        <v>3</v>
      </c>
      <c r="CF163" s="11"/>
      <c r="CG163" s="15" t="s">
        <v>49</v>
      </c>
      <c r="CH163" s="15"/>
      <c r="CI163" s="15"/>
      <c r="CJ163" s="75">
        <v>0</v>
      </c>
      <c r="CK163" s="53"/>
      <c r="CM163" s="50">
        <v>3</v>
      </c>
      <c r="CN163" s="50">
        <v>3</v>
      </c>
      <c r="CO163" s="11"/>
      <c r="CP163" s="15" t="s">
        <v>49</v>
      </c>
      <c r="CQ163" s="15"/>
      <c r="CR163" s="15"/>
      <c r="CS163" s="75">
        <v>0</v>
      </c>
      <c r="CT163" s="53"/>
      <c r="CV163" s="50">
        <v>3</v>
      </c>
      <c r="CW163" s="50">
        <v>3</v>
      </c>
      <c r="CX163" s="11"/>
      <c r="CY163" s="18" t="s">
        <v>49</v>
      </c>
      <c r="CZ163" s="15"/>
      <c r="DA163" s="15"/>
      <c r="DB163" s="75">
        <v>0</v>
      </c>
      <c r="DC163" s="53"/>
      <c r="DE163" s="50">
        <v>3</v>
      </c>
      <c r="DF163" s="50">
        <v>3</v>
      </c>
      <c r="DG163" s="11"/>
      <c r="DH163" s="18" t="s">
        <v>49</v>
      </c>
      <c r="DI163" s="15"/>
      <c r="DJ163" s="15"/>
      <c r="DK163" s="75">
        <v>0</v>
      </c>
      <c r="DL163" s="53"/>
      <c r="DN163" s="50">
        <v>3</v>
      </c>
      <c r="DO163" s="50">
        <v>3</v>
      </c>
      <c r="DP163" s="11"/>
      <c r="DQ163" s="15" t="s">
        <v>49</v>
      </c>
      <c r="DR163" s="15"/>
      <c r="DS163" s="15"/>
      <c r="DT163" s="75">
        <v>0</v>
      </c>
      <c r="DU163" s="53"/>
      <c r="DX163">
        <v>56</v>
      </c>
    </row>
    <row r="164" spans="1:128" x14ac:dyDescent="0.25">
      <c r="A164" s="50">
        <v>4</v>
      </c>
      <c r="B164" s="50">
        <v>4</v>
      </c>
      <c r="C164" s="11"/>
      <c r="D164" s="18">
        <v>5</v>
      </c>
      <c r="E164" s="15">
        <v>5</v>
      </c>
      <c r="F164" s="15">
        <v>3</v>
      </c>
      <c r="G164" s="53">
        <f t="shared" si="118"/>
        <v>39</v>
      </c>
      <c r="H164" s="53"/>
      <c r="J164" s="50">
        <v>4</v>
      </c>
      <c r="K164" s="50">
        <v>4</v>
      </c>
      <c r="L164" s="11"/>
      <c r="M164" s="18">
        <v>4.9000000000000004</v>
      </c>
      <c r="N164" s="15">
        <v>5</v>
      </c>
      <c r="O164" s="15">
        <v>2.8</v>
      </c>
      <c r="P164" s="53">
        <f t="shared" si="119"/>
        <v>35.671999999999997</v>
      </c>
      <c r="Q164" s="53"/>
      <c r="S164" s="50">
        <v>4</v>
      </c>
      <c r="T164" s="50">
        <v>4</v>
      </c>
      <c r="U164" s="11"/>
      <c r="V164" s="18">
        <v>6.4</v>
      </c>
      <c r="W164" s="15">
        <v>7.3</v>
      </c>
      <c r="X164" s="15">
        <v>3.4</v>
      </c>
      <c r="Y164" s="53">
        <f t="shared" si="120"/>
        <v>82.600960000000001</v>
      </c>
      <c r="Z164" s="53"/>
      <c r="AB164" s="50">
        <v>4</v>
      </c>
      <c r="AC164" s="50">
        <v>4</v>
      </c>
      <c r="AD164" s="11"/>
      <c r="AE164" s="18">
        <v>5</v>
      </c>
      <c r="AF164" s="15">
        <v>5</v>
      </c>
      <c r="AG164" s="15">
        <v>3</v>
      </c>
      <c r="AH164" s="53">
        <f t="shared" si="121"/>
        <v>39</v>
      </c>
      <c r="AI164" s="53"/>
      <c r="AK164" s="50">
        <v>4</v>
      </c>
      <c r="AL164" s="50">
        <v>4</v>
      </c>
      <c r="AM164" s="11"/>
      <c r="AN164" s="18">
        <v>7</v>
      </c>
      <c r="AO164" s="15">
        <v>5</v>
      </c>
      <c r="AP164" s="15">
        <v>3.5</v>
      </c>
      <c r="AQ164" s="53">
        <f t="shared" si="122"/>
        <v>63.7</v>
      </c>
      <c r="AR164" s="53"/>
      <c r="AT164" s="50">
        <v>4</v>
      </c>
      <c r="AU164" s="50">
        <v>4</v>
      </c>
      <c r="AV164" s="11"/>
      <c r="AW164" s="18">
        <v>6</v>
      </c>
      <c r="AX164" s="15">
        <v>6</v>
      </c>
      <c r="AY164" s="15">
        <v>3</v>
      </c>
      <c r="AZ164" s="53">
        <f t="shared" si="123"/>
        <v>56.160000000000004</v>
      </c>
      <c r="BA164" s="53"/>
      <c r="BC164" s="50">
        <v>4</v>
      </c>
      <c r="BD164" s="50">
        <v>4</v>
      </c>
      <c r="BE164" s="11"/>
      <c r="BF164" s="18" t="s">
        <v>49</v>
      </c>
      <c r="BG164" s="15"/>
      <c r="BH164" s="15"/>
      <c r="BI164" s="75">
        <v>0</v>
      </c>
      <c r="BJ164" s="53"/>
      <c r="BL164" s="50">
        <v>4</v>
      </c>
      <c r="BM164" s="50">
        <v>4</v>
      </c>
      <c r="BN164" s="11"/>
      <c r="BO164" s="18" t="s">
        <v>49</v>
      </c>
      <c r="BP164" s="15"/>
      <c r="BQ164" s="15"/>
      <c r="BR164" s="75">
        <v>0</v>
      </c>
      <c r="BS164" s="53"/>
      <c r="BU164" s="50">
        <v>4</v>
      </c>
      <c r="BV164" s="50">
        <v>4</v>
      </c>
      <c r="BW164" s="11"/>
      <c r="BX164" s="15" t="s">
        <v>49</v>
      </c>
      <c r="BY164" s="15"/>
      <c r="BZ164" s="15"/>
      <c r="CA164" s="75">
        <v>0</v>
      </c>
      <c r="CB164" s="53"/>
      <c r="CD164" s="50">
        <v>4</v>
      </c>
      <c r="CE164" s="50">
        <v>4</v>
      </c>
      <c r="CF164" s="11"/>
      <c r="CG164" s="15" t="s">
        <v>49</v>
      </c>
      <c r="CH164" s="15"/>
      <c r="CI164" s="15"/>
      <c r="CJ164" s="75">
        <v>0</v>
      </c>
      <c r="CK164" s="53"/>
      <c r="CM164" s="50">
        <v>4</v>
      </c>
      <c r="CN164" s="50">
        <v>4</v>
      </c>
      <c r="CO164" s="11"/>
      <c r="CP164" s="15" t="s">
        <v>49</v>
      </c>
      <c r="CQ164" s="15"/>
      <c r="CR164" s="15"/>
      <c r="CS164" s="75">
        <v>0</v>
      </c>
      <c r="CT164" s="53"/>
      <c r="CV164" s="50">
        <v>4</v>
      </c>
      <c r="CW164" s="50">
        <v>4</v>
      </c>
      <c r="CX164" s="11"/>
      <c r="CY164" s="18" t="s">
        <v>49</v>
      </c>
      <c r="CZ164" s="15"/>
      <c r="DA164" s="15"/>
      <c r="DB164" s="75">
        <v>0</v>
      </c>
      <c r="DC164" s="53"/>
      <c r="DE164" s="50">
        <v>4</v>
      </c>
      <c r="DF164" s="50">
        <v>4</v>
      </c>
      <c r="DG164" s="11"/>
      <c r="DH164" s="18" t="s">
        <v>49</v>
      </c>
      <c r="DI164" s="15"/>
      <c r="DJ164" s="15"/>
      <c r="DK164" s="75">
        <v>0</v>
      </c>
      <c r="DL164" s="53"/>
      <c r="DN164" s="50">
        <v>4</v>
      </c>
      <c r="DO164" s="50">
        <v>4</v>
      </c>
      <c r="DP164" s="11"/>
      <c r="DQ164" s="15" t="s">
        <v>49</v>
      </c>
      <c r="DR164" s="15"/>
      <c r="DS164" s="15"/>
      <c r="DT164" s="75">
        <v>0</v>
      </c>
      <c r="DU164" s="53"/>
      <c r="DX164" s="88"/>
    </row>
    <row r="165" spans="1:128" x14ac:dyDescent="0.25">
      <c r="A165" s="50">
        <v>5</v>
      </c>
      <c r="B165" s="50">
        <v>5</v>
      </c>
      <c r="C165" s="11"/>
      <c r="D165" s="15">
        <v>6</v>
      </c>
      <c r="E165" s="15">
        <v>3</v>
      </c>
      <c r="F165" s="15">
        <v>3</v>
      </c>
      <c r="G165" s="53">
        <f t="shared" si="118"/>
        <v>28.080000000000002</v>
      </c>
      <c r="H165" s="53"/>
      <c r="J165" s="50">
        <v>5</v>
      </c>
      <c r="K165" s="50">
        <v>5</v>
      </c>
      <c r="L165" s="11"/>
      <c r="M165" s="15">
        <v>5.4</v>
      </c>
      <c r="N165" s="15">
        <v>4</v>
      </c>
      <c r="O165" s="15">
        <v>3</v>
      </c>
      <c r="P165" s="53">
        <f t="shared" si="119"/>
        <v>33.696000000000005</v>
      </c>
      <c r="Q165" s="53"/>
      <c r="S165" s="50">
        <v>5</v>
      </c>
      <c r="T165" s="50">
        <v>5</v>
      </c>
      <c r="U165" s="11"/>
      <c r="V165" s="15">
        <v>5</v>
      </c>
      <c r="W165" s="15">
        <v>5.6</v>
      </c>
      <c r="X165" s="15">
        <v>3</v>
      </c>
      <c r="Y165" s="53">
        <f t="shared" si="120"/>
        <v>43.68</v>
      </c>
      <c r="Z165" s="53"/>
      <c r="AB165" s="50">
        <v>5</v>
      </c>
      <c r="AC165" s="50">
        <v>5</v>
      </c>
      <c r="AD165" s="11"/>
      <c r="AE165" s="15">
        <v>6.3</v>
      </c>
      <c r="AF165" s="15">
        <v>4.5</v>
      </c>
      <c r="AG165" s="15">
        <v>3</v>
      </c>
      <c r="AH165" s="53">
        <f t="shared" si="121"/>
        <v>44.225999999999999</v>
      </c>
      <c r="AI165" s="53"/>
      <c r="AK165" s="50">
        <v>5</v>
      </c>
      <c r="AL165" s="50">
        <v>5</v>
      </c>
      <c r="AM165" s="11"/>
      <c r="AN165" s="15">
        <v>5</v>
      </c>
      <c r="AO165" s="15">
        <v>7</v>
      </c>
      <c r="AP165" s="15">
        <v>4</v>
      </c>
      <c r="AQ165" s="53">
        <f t="shared" si="122"/>
        <v>72.8</v>
      </c>
      <c r="AR165" s="53"/>
      <c r="AT165" s="50">
        <v>5</v>
      </c>
      <c r="AU165" s="50">
        <v>5</v>
      </c>
      <c r="AV165" s="11"/>
      <c r="AW165" s="15">
        <v>5</v>
      </c>
      <c r="AX165" s="15">
        <v>5</v>
      </c>
      <c r="AY165" s="15">
        <v>4</v>
      </c>
      <c r="AZ165" s="53">
        <f t="shared" si="123"/>
        <v>52</v>
      </c>
      <c r="BA165" s="53"/>
      <c r="BC165" s="50">
        <v>5</v>
      </c>
      <c r="BD165" s="50">
        <v>5</v>
      </c>
      <c r="BE165" s="11"/>
      <c r="BF165" s="15">
        <v>5</v>
      </c>
      <c r="BG165" s="15">
        <v>5</v>
      </c>
      <c r="BH165" s="15">
        <v>5</v>
      </c>
      <c r="BI165" s="53">
        <f t="shared" si="124"/>
        <v>65</v>
      </c>
      <c r="BJ165" s="53"/>
      <c r="BL165" s="50">
        <v>5</v>
      </c>
      <c r="BM165" s="50">
        <v>5</v>
      </c>
      <c r="BN165" s="11"/>
      <c r="BO165" s="15">
        <v>5</v>
      </c>
      <c r="BP165" s="15">
        <v>5</v>
      </c>
      <c r="BQ165" s="15">
        <v>5</v>
      </c>
      <c r="BR165" s="53">
        <f t="shared" si="125"/>
        <v>65</v>
      </c>
      <c r="BS165" s="53"/>
      <c r="BU165" s="50">
        <v>5</v>
      </c>
      <c r="BV165" s="50">
        <v>5</v>
      </c>
      <c r="BW165" s="11"/>
      <c r="BX165" s="15">
        <v>9.8000000000000007</v>
      </c>
      <c r="BY165" s="15">
        <v>6.7</v>
      </c>
      <c r="BZ165" s="15">
        <v>4.5</v>
      </c>
      <c r="CA165" s="53">
        <f t="shared" ref="CA165:CA169" si="126">BX165*BY165*BZ165*0.52</f>
        <v>153.64440000000002</v>
      </c>
      <c r="CB165" s="53"/>
      <c r="CD165" s="50">
        <v>5</v>
      </c>
      <c r="CE165" s="50">
        <v>5</v>
      </c>
      <c r="CF165" s="11"/>
      <c r="CG165" s="15">
        <v>13.9</v>
      </c>
      <c r="CH165" s="15">
        <v>8.5</v>
      </c>
      <c r="CI165" s="15">
        <v>5</v>
      </c>
      <c r="CJ165" s="53">
        <f t="shared" ref="CJ165:CJ168" si="127">CG165*CH165*CI165*0.52</f>
        <v>307.19</v>
      </c>
      <c r="CK165" s="53"/>
      <c r="CM165" s="50">
        <v>5</v>
      </c>
      <c r="CN165" s="50">
        <v>5</v>
      </c>
      <c r="CO165" s="11"/>
      <c r="CP165" s="15">
        <v>15</v>
      </c>
      <c r="CQ165" s="15">
        <v>12.1</v>
      </c>
      <c r="CR165" s="15">
        <v>6.1</v>
      </c>
      <c r="CS165" s="53">
        <f t="shared" ref="CS165:CS168" si="128">CP165*CQ165*CR165*0.52</f>
        <v>575.71799999999996</v>
      </c>
      <c r="CT165" s="53"/>
      <c r="CV165" s="50">
        <v>5</v>
      </c>
      <c r="CW165" s="50">
        <v>5</v>
      </c>
      <c r="CX165" s="11"/>
      <c r="CY165" s="15">
        <v>22.7</v>
      </c>
      <c r="CZ165" s="15">
        <v>16.399999999999999</v>
      </c>
      <c r="DA165" s="15">
        <v>14.5</v>
      </c>
      <c r="DB165" s="76">
        <f t="shared" ref="DB165:DB168" si="129">CY165*CZ165*DA165*0.52</f>
        <v>2806.9911999999999</v>
      </c>
      <c r="DC165" s="53" t="s">
        <v>85</v>
      </c>
      <c r="DE165" s="50">
        <v>5</v>
      </c>
      <c r="DF165" s="50">
        <v>5</v>
      </c>
      <c r="DG165" s="11"/>
      <c r="DH165" s="77"/>
      <c r="DI165" s="77"/>
      <c r="DJ165" s="77"/>
      <c r="DK165" s="76"/>
      <c r="DL165" s="53" t="s">
        <v>85</v>
      </c>
      <c r="DN165" s="50">
        <v>5</v>
      </c>
      <c r="DO165" s="50">
        <v>5</v>
      </c>
      <c r="DP165" s="11"/>
      <c r="DQ165" s="77"/>
      <c r="DR165" s="77"/>
      <c r="DS165" s="77"/>
      <c r="DT165" s="76"/>
      <c r="DU165" s="53" t="s">
        <v>85</v>
      </c>
      <c r="DX165" s="88"/>
    </row>
    <row r="166" spans="1:128" x14ac:dyDescent="0.25">
      <c r="A166" s="50">
        <v>6</v>
      </c>
      <c r="B166" s="50">
        <v>6</v>
      </c>
      <c r="C166" s="11"/>
      <c r="D166" s="18">
        <v>6</v>
      </c>
      <c r="E166" s="15">
        <v>3</v>
      </c>
      <c r="F166" s="15">
        <v>3</v>
      </c>
      <c r="G166" s="53">
        <f t="shared" si="118"/>
        <v>28.080000000000002</v>
      </c>
      <c r="H166" s="53"/>
      <c r="J166" s="50">
        <v>6</v>
      </c>
      <c r="K166" s="50">
        <v>6</v>
      </c>
      <c r="L166" s="11"/>
      <c r="M166" s="18">
        <v>4</v>
      </c>
      <c r="N166" s="15">
        <v>4</v>
      </c>
      <c r="O166" s="15">
        <v>2</v>
      </c>
      <c r="P166" s="53">
        <f t="shared" si="119"/>
        <v>16.64</v>
      </c>
      <c r="Q166" s="53"/>
      <c r="S166" s="50">
        <v>6</v>
      </c>
      <c r="T166" s="50">
        <v>6</v>
      </c>
      <c r="U166" s="11"/>
      <c r="V166" s="18">
        <v>7</v>
      </c>
      <c r="W166" s="15">
        <v>8</v>
      </c>
      <c r="X166" s="15">
        <v>3</v>
      </c>
      <c r="Y166" s="53">
        <f t="shared" si="120"/>
        <v>87.36</v>
      </c>
      <c r="Z166" s="53"/>
      <c r="AB166" s="50">
        <v>6</v>
      </c>
      <c r="AC166" s="50">
        <v>6</v>
      </c>
      <c r="AD166" s="11"/>
      <c r="AE166" s="18">
        <v>5.6</v>
      </c>
      <c r="AF166" s="15">
        <v>6</v>
      </c>
      <c r="AG166" s="15">
        <v>3</v>
      </c>
      <c r="AH166" s="53">
        <f t="shared" si="121"/>
        <v>52.41599999999999</v>
      </c>
      <c r="AI166" s="53"/>
      <c r="AK166" s="50">
        <v>6</v>
      </c>
      <c r="AL166" s="50">
        <v>6</v>
      </c>
      <c r="AM166" s="11"/>
      <c r="AN166" s="18">
        <v>5</v>
      </c>
      <c r="AO166" s="15">
        <v>5</v>
      </c>
      <c r="AP166" s="15">
        <v>2</v>
      </c>
      <c r="AQ166" s="53">
        <f t="shared" si="122"/>
        <v>26</v>
      </c>
      <c r="AR166" s="53"/>
      <c r="AT166" s="50">
        <v>6</v>
      </c>
      <c r="AU166" s="50">
        <v>6</v>
      </c>
      <c r="AV166" s="11"/>
      <c r="AW166" s="18">
        <v>6</v>
      </c>
      <c r="AX166" s="15">
        <v>6</v>
      </c>
      <c r="AY166" s="15">
        <v>2.5</v>
      </c>
      <c r="AZ166" s="53">
        <f t="shared" si="123"/>
        <v>46.800000000000004</v>
      </c>
      <c r="BA166" s="53"/>
      <c r="BC166" s="50">
        <v>6</v>
      </c>
      <c r="BD166" s="50">
        <v>6</v>
      </c>
      <c r="BE166" s="11"/>
      <c r="BF166" s="18">
        <v>5</v>
      </c>
      <c r="BG166" s="15">
        <v>5</v>
      </c>
      <c r="BH166" s="15">
        <v>3</v>
      </c>
      <c r="BI166" s="53">
        <f t="shared" si="124"/>
        <v>39</v>
      </c>
      <c r="BJ166" s="53"/>
      <c r="BL166" s="50">
        <v>6</v>
      </c>
      <c r="BM166" s="50">
        <v>6</v>
      </c>
      <c r="BN166" s="11"/>
      <c r="BO166" s="18" t="s">
        <v>49</v>
      </c>
      <c r="BP166" s="15"/>
      <c r="BQ166" s="15"/>
      <c r="BR166" s="75">
        <v>0</v>
      </c>
      <c r="BS166" s="53"/>
      <c r="BU166" s="50">
        <v>6</v>
      </c>
      <c r="BV166" s="50">
        <v>6</v>
      </c>
      <c r="BW166" s="11"/>
      <c r="BX166" s="18"/>
      <c r="BY166" s="15"/>
      <c r="BZ166" s="15"/>
      <c r="CA166" s="75">
        <f t="shared" si="126"/>
        <v>0</v>
      </c>
      <c r="CB166" s="53"/>
      <c r="CD166" s="50">
        <v>6</v>
      </c>
      <c r="CE166" s="50">
        <v>6</v>
      </c>
      <c r="CF166" s="11"/>
      <c r="CG166" s="15" t="s">
        <v>49</v>
      </c>
      <c r="CH166" s="15"/>
      <c r="CI166" s="15"/>
      <c r="CJ166" s="75">
        <v>0</v>
      </c>
      <c r="CK166" s="53"/>
      <c r="CM166" s="50">
        <v>6</v>
      </c>
      <c r="CN166" s="50">
        <v>6</v>
      </c>
      <c r="CO166" s="11"/>
      <c r="CP166" s="15" t="s">
        <v>49</v>
      </c>
      <c r="CQ166" s="15"/>
      <c r="CR166" s="15"/>
      <c r="CS166" s="75">
        <v>0</v>
      </c>
      <c r="CT166" s="53"/>
      <c r="CV166" s="50">
        <v>6</v>
      </c>
      <c r="CW166" s="50">
        <v>6</v>
      </c>
      <c r="CX166" s="11"/>
      <c r="CY166" s="18" t="s">
        <v>49</v>
      </c>
      <c r="CZ166" s="15"/>
      <c r="DA166" s="15"/>
      <c r="DB166" s="75">
        <v>0</v>
      </c>
      <c r="DC166" s="53"/>
      <c r="DE166" s="50">
        <v>6</v>
      </c>
      <c r="DF166" s="50">
        <v>6</v>
      </c>
      <c r="DG166" s="11"/>
      <c r="DH166" s="18" t="s">
        <v>49</v>
      </c>
      <c r="DI166" s="15"/>
      <c r="DJ166" s="15"/>
      <c r="DK166" s="75">
        <v>0</v>
      </c>
      <c r="DL166" s="53"/>
      <c r="DN166" s="50">
        <v>6</v>
      </c>
      <c r="DO166" s="50">
        <v>6</v>
      </c>
      <c r="DP166" s="11"/>
      <c r="DQ166" s="15" t="s">
        <v>49</v>
      </c>
      <c r="DR166" s="15"/>
      <c r="DS166" s="15"/>
      <c r="DT166" s="75">
        <v>0</v>
      </c>
      <c r="DU166" s="53"/>
      <c r="DX166" s="88"/>
    </row>
    <row r="167" spans="1:128" x14ac:dyDescent="0.25">
      <c r="A167" s="50">
        <v>7</v>
      </c>
      <c r="B167" s="54">
        <v>14</v>
      </c>
      <c r="C167" s="11"/>
      <c r="D167" s="15">
        <v>4</v>
      </c>
      <c r="E167" s="15">
        <v>3</v>
      </c>
      <c r="F167" s="15">
        <v>2</v>
      </c>
      <c r="G167" s="53">
        <f t="shared" si="118"/>
        <v>12.48</v>
      </c>
      <c r="H167" s="53"/>
      <c r="J167" s="50">
        <v>7</v>
      </c>
      <c r="K167" s="54">
        <v>14</v>
      </c>
      <c r="L167" s="11"/>
      <c r="M167" s="15">
        <v>6</v>
      </c>
      <c r="N167" s="15">
        <v>5</v>
      </c>
      <c r="O167" s="15">
        <v>2.5</v>
      </c>
      <c r="P167" s="53">
        <f t="shared" si="119"/>
        <v>39</v>
      </c>
      <c r="Q167" s="53"/>
      <c r="S167" s="50">
        <v>7</v>
      </c>
      <c r="T167" s="54">
        <v>14</v>
      </c>
      <c r="U167" s="11"/>
      <c r="V167" s="15">
        <v>7</v>
      </c>
      <c r="W167" s="15">
        <v>7</v>
      </c>
      <c r="X167" s="15">
        <v>3</v>
      </c>
      <c r="Y167" s="53">
        <f t="shared" si="120"/>
        <v>76.44</v>
      </c>
      <c r="Z167" s="53" t="s">
        <v>57</v>
      </c>
      <c r="AB167" s="50">
        <v>7</v>
      </c>
      <c r="AC167" s="54">
        <v>14</v>
      </c>
      <c r="AD167" s="11"/>
      <c r="AE167" s="15">
        <v>6</v>
      </c>
      <c r="AF167" s="15">
        <v>6</v>
      </c>
      <c r="AG167" s="15">
        <v>3</v>
      </c>
      <c r="AH167" s="53">
        <f t="shared" si="121"/>
        <v>56.160000000000004</v>
      </c>
      <c r="AI167" s="53"/>
      <c r="AK167" s="50">
        <v>7</v>
      </c>
      <c r="AL167" s="54">
        <v>14</v>
      </c>
      <c r="AM167" s="11"/>
      <c r="AN167" s="15">
        <v>4</v>
      </c>
      <c r="AO167" s="15">
        <v>4</v>
      </c>
      <c r="AP167" s="15">
        <v>3</v>
      </c>
      <c r="AQ167" s="53">
        <f t="shared" si="122"/>
        <v>24.96</v>
      </c>
      <c r="AR167" s="53"/>
      <c r="AT167" s="50">
        <v>7</v>
      </c>
      <c r="AU167" s="54">
        <v>14</v>
      </c>
      <c r="AV167" s="11"/>
      <c r="AW167" s="15">
        <v>5</v>
      </c>
      <c r="AX167" s="15">
        <v>5</v>
      </c>
      <c r="AY167" s="15">
        <v>2</v>
      </c>
      <c r="AZ167" s="53">
        <f t="shared" si="123"/>
        <v>26</v>
      </c>
      <c r="BA167" s="53"/>
      <c r="BC167" s="50">
        <v>7</v>
      </c>
      <c r="BD167" s="54">
        <v>14</v>
      </c>
      <c r="BE167" s="11"/>
      <c r="BF167" s="15">
        <v>5</v>
      </c>
      <c r="BG167" s="15">
        <v>5</v>
      </c>
      <c r="BH167" s="15">
        <v>2</v>
      </c>
      <c r="BI167" s="53">
        <f t="shared" si="124"/>
        <v>26</v>
      </c>
      <c r="BJ167" s="53"/>
      <c r="BL167" s="50">
        <v>7</v>
      </c>
      <c r="BM167" s="54">
        <v>14</v>
      </c>
      <c r="BN167" s="11"/>
      <c r="BO167" s="15" t="s">
        <v>49</v>
      </c>
      <c r="BP167" s="15"/>
      <c r="BQ167" s="15"/>
      <c r="BR167" s="75">
        <v>0</v>
      </c>
      <c r="BS167" s="53"/>
      <c r="BU167" s="50">
        <v>7</v>
      </c>
      <c r="BV167" s="54">
        <v>14</v>
      </c>
      <c r="BW167" s="11"/>
      <c r="BX167" s="15"/>
      <c r="BY167" s="15"/>
      <c r="BZ167" s="15"/>
      <c r="CA167" s="75">
        <f t="shared" si="126"/>
        <v>0</v>
      </c>
      <c r="CB167" s="53"/>
      <c r="CD167" s="50">
        <v>7</v>
      </c>
      <c r="CE167" s="54">
        <v>14</v>
      </c>
      <c r="CF167" s="11"/>
      <c r="CG167" s="15" t="s">
        <v>49</v>
      </c>
      <c r="CH167" s="15"/>
      <c r="CI167" s="15"/>
      <c r="CJ167" s="75">
        <v>0</v>
      </c>
      <c r="CK167" s="53"/>
      <c r="CM167" s="50">
        <v>7</v>
      </c>
      <c r="CN167" s="54">
        <v>14</v>
      </c>
      <c r="CO167" s="11"/>
      <c r="CP167" s="15" t="s">
        <v>49</v>
      </c>
      <c r="CQ167" s="15"/>
      <c r="CR167" s="15"/>
      <c r="CS167" s="75">
        <v>0</v>
      </c>
      <c r="CT167" s="53"/>
      <c r="CV167" s="50">
        <v>7</v>
      </c>
      <c r="CW167" s="54">
        <v>14</v>
      </c>
      <c r="CX167" s="11"/>
      <c r="CY167" s="18" t="s">
        <v>49</v>
      </c>
      <c r="CZ167" s="15"/>
      <c r="DA167" s="15"/>
      <c r="DB167" s="75">
        <v>0</v>
      </c>
      <c r="DC167" s="53"/>
      <c r="DE167" s="50">
        <v>7</v>
      </c>
      <c r="DF167" s="54">
        <v>14</v>
      </c>
      <c r="DG167" s="11"/>
      <c r="DH167" s="18" t="s">
        <v>49</v>
      </c>
      <c r="DI167" s="15"/>
      <c r="DJ167" s="15"/>
      <c r="DK167" s="75">
        <v>0</v>
      </c>
      <c r="DL167" s="53"/>
      <c r="DN167" s="50">
        <v>7</v>
      </c>
      <c r="DO167" s="54">
        <v>14</v>
      </c>
      <c r="DP167" s="11"/>
      <c r="DQ167" s="15" t="s">
        <v>49</v>
      </c>
      <c r="DR167" s="15"/>
      <c r="DS167" s="15"/>
      <c r="DT167" s="75">
        <v>0</v>
      </c>
      <c r="DU167" s="53"/>
      <c r="DX167" s="88"/>
    </row>
    <row r="168" spans="1:128" x14ac:dyDescent="0.25">
      <c r="A168" s="50">
        <v>8</v>
      </c>
      <c r="B168" s="54">
        <v>15</v>
      </c>
      <c r="C168" s="11"/>
      <c r="D168" s="15">
        <v>4</v>
      </c>
      <c r="E168" s="15">
        <v>3</v>
      </c>
      <c r="F168" s="15">
        <v>3</v>
      </c>
      <c r="G168" s="53">
        <f t="shared" si="118"/>
        <v>18.72</v>
      </c>
      <c r="H168" s="53"/>
      <c r="J168" s="50">
        <v>8</v>
      </c>
      <c r="K168" s="54">
        <v>15</v>
      </c>
      <c r="L168" s="11"/>
      <c r="M168" s="15">
        <v>5.4</v>
      </c>
      <c r="N168" s="15">
        <v>5</v>
      </c>
      <c r="O168" s="15">
        <v>2.5</v>
      </c>
      <c r="P168" s="53">
        <f t="shared" si="119"/>
        <v>35.1</v>
      </c>
      <c r="Q168" s="53"/>
      <c r="S168" s="50">
        <v>8</v>
      </c>
      <c r="T168" s="54">
        <v>15</v>
      </c>
      <c r="U168" s="11"/>
      <c r="V168" s="15">
        <v>8.9</v>
      </c>
      <c r="W168" s="15">
        <v>6.2</v>
      </c>
      <c r="X168" s="15">
        <v>3.4</v>
      </c>
      <c r="Y168" s="53">
        <f t="shared" si="120"/>
        <v>97.558240000000012</v>
      </c>
      <c r="Z168" s="53"/>
      <c r="AB168" s="50">
        <v>8</v>
      </c>
      <c r="AC168" s="54">
        <v>15</v>
      </c>
      <c r="AD168" s="11"/>
      <c r="AE168" s="15">
        <v>6</v>
      </c>
      <c r="AF168" s="15">
        <v>6</v>
      </c>
      <c r="AG168" s="15">
        <v>4</v>
      </c>
      <c r="AH168" s="53">
        <f t="shared" si="121"/>
        <v>74.88</v>
      </c>
      <c r="AI168" s="53"/>
      <c r="AK168" s="50">
        <v>8</v>
      </c>
      <c r="AL168" s="54">
        <v>15</v>
      </c>
      <c r="AM168" s="11"/>
      <c r="AN168" s="15">
        <v>7</v>
      </c>
      <c r="AO168" s="15">
        <v>7</v>
      </c>
      <c r="AP168" s="15">
        <v>3.5</v>
      </c>
      <c r="AQ168" s="53">
        <f t="shared" si="122"/>
        <v>89.18</v>
      </c>
      <c r="AR168" s="53"/>
      <c r="AT168" s="50">
        <v>8</v>
      </c>
      <c r="AU168" s="54">
        <v>15</v>
      </c>
      <c r="AV168" s="11"/>
      <c r="AW168" s="15">
        <v>6</v>
      </c>
      <c r="AX168" s="15">
        <v>6</v>
      </c>
      <c r="AY168" s="15">
        <v>3.5</v>
      </c>
      <c r="AZ168" s="53">
        <f t="shared" si="123"/>
        <v>65.52</v>
      </c>
      <c r="BA168" s="53"/>
      <c r="BC168" s="50">
        <v>8</v>
      </c>
      <c r="BD168" s="54">
        <v>15</v>
      </c>
      <c r="BE168" s="11"/>
      <c r="BF168" s="15">
        <v>8.4</v>
      </c>
      <c r="BG168" s="15">
        <v>5</v>
      </c>
      <c r="BH168" s="15">
        <v>3.5</v>
      </c>
      <c r="BI168" s="53">
        <f t="shared" si="124"/>
        <v>76.44</v>
      </c>
      <c r="BJ168" s="53"/>
      <c r="BL168" s="50">
        <v>8</v>
      </c>
      <c r="BM168" s="54">
        <v>15</v>
      </c>
      <c r="BN168" s="11"/>
      <c r="BO168" s="15">
        <v>7</v>
      </c>
      <c r="BP168" s="15">
        <v>7</v>
      </c>
      <c r="BQ168" s="15">
        <v>4</v>
      </c>
      <c r="BR168" s="53">
        <f t="shared" si="125"/>
        <v>101.92</v>
      </c>
      <c r="BS168" s="53"/>
      <c r="BU168" s="50">
        <v>8</v>
      </c>
      <c r="BV168" s="54">
        <v>15</v>
      </c>
      <c r="BW168" s="92"/>
      <c r="BX168" s="55">
        <v>12</v>
      </c>
      <c r="BY168" s="55">
        <v>7.4</v>
      </c>
      <c r="BZ168" s="55">
        <v>6.5</v>
      </c>
      <c r="CA168" s="53">
        <f t="shared" si="126"/>
        <v>300.14400000000006</v>
      </c>
      <c r="CB168" s="53"/>
      <c r="CD168" s="50">
        <v>8</v>
      </c>
      <c r="CE168" s="54">
        <v>15</v>
      </c>
      <c r="CF168" s="11"/>
      <c r="CG168" s="15">
        <v>8</v>
      </c>
      <c r="CH168" s="15">
        <v>9</v>
      </c>
      <c r="CI168" s="15">
        <v>5</v>
      </c>
      <c r="CJ168" s="53">
        <f t="shared" si="127"/>
        <v>187.20000000000002</v>
      </c>
      <c r="CK168" s="53"/>
      <c r="CM168" s="50">
        <v>8</v>
      </c>
      <c r="CN168" s="54">
        <v>15</v>
      </c>
      <c r="CO168" s="11"/>
      <c r="CP168" s="15">
        <v>8.4</v>
      </c>
      <c r="CQ168" s="15">
        <v>6.7</v>
      </c>
      <c r="CR168" s="15">
        <v>4.9000000000000004</v>
      </c>
      <c r="CS168" s="53">
        <f t="shared" si="128"/>
        <v>143.40144000000004</v>
      </c>
      <c r="CT168" s="53"/>
      <c r="CV168" s="50">
        <v>8</v>
      </c>
      <c r="CW168" s="54">
        <v>15</v>
      </c>
      <c r="CX168" s="11"/>
      <c r="CY168" s="15">
        <v>14.1</v>
      </c>
      <c r="CZ168" s="15">
        <v>10.9</v>
      </c>
      <c r="DA168" s="15">
        <v>6.8</v>
      </c>
      <c r="DB168" s="53">
        <f t="shared" si="129"/>
        <v>543.44783999999993</v>
      </c>
      <c r="DC168" s="53"/>
      <c r="DE168" s="50">
        <v>8</v>
      </c>
      <c r="DF168" s="54">
        <v>15</v>
      </c>
      <c r="DG168" s="11"/>
      <c r="DH168" s="15">
        <v>19.100000000000001</v>
      </c>
      <c r="DI168" s="15">
        <v>16.100000000000001</v>
      </c>
      <c r="DJ168" s="15">
        <v>9.1999999999999993</v>
      </c>
      <c r="DK168" s="53">
        <f t="shared" ref="DK168" si="130">DH168*DI168*DJ168*0.52</f>
        <v>1471.1278400000001</v>
      </c>
      <c r="DL168" s="53"/>
      <c r="DN168" s="50">
        <v>8</v>
      </c>
      <c r="DO168" s="54">
        <v>15</v>
      </c>
      <c r="DP168" s="11"/>
      <c r="DQ168" s="15">
        <v>22.1</v>
      </c>
      <c r="DR168" s="15">
        <v>21.4</v>
      </c>
      <c r="DS168" s="15">
        <v>14</v>
      </c>
      <c r="DT168" s="76">
        <f t="shared" ref="DT168" si="131">DQ168*DR168*DS168*0.52</f>
        <v>3443.0032000000001</v>
      </c>
      <c r="DU168" s="53" t="s">
        <v>89</v>
      </c>
      <c r="DX168" s="88"/>
    </row>
    <row r="169" spans="1:128" x14ac:dyDescent="0.25">
      <c r="A169" s="50">
        <v>9</v>
      </c>
      <c r="B169" s="56" t="s">
        <v>8</v>
      </c>
      <c r="C169" s="11"/>
      <c r="D169" s="55">
        <v>5</v>
      </c>
      <c r="E169" s="55">
        <v>5</v>
      </c>
      <c r="F169" s="55">
        <v>3</v>
      </c>
      <c r="G169" s="53">
        <f>D169*E169*F169*0.52</f>
        <v>39</v>
      </c>
      <c r="H169" s="53"/>
      <c r="J169" s="50">
        <v>9</v>
      </c>
      <c r="K169" s="56" t="s">
        <v>8</v>
      </c>
      <c r="L169" s="11"/>
      <c r="M169" s="55">
        <v>5</v>
      </c>
      <c r="N169" s="55">
        <v>5</v>
      </c>
      <c r="O169" s="55">
        <v>3</v>
      </c>
      <c r="P169" s="53">
        <f t="shared" si="119"/>
        <v>39</v>
      </c>
      <c r="Q169" s="53"/>
      <c r="S169" s="50">
        <v>9</v>
      </c>
      <c r="T169" s="56" t="s">
        <v>8</v>
      </c>
      <c r="U169" s="11"/>
      <c r="V169" s="55">
        <v>5</v>
      </c>
      <c r="W169" s="55">
        <v>5</v>
      </c>
      <c r="X169" s="55">
        <v>3</v>
      </c>
      <c r="Y169" s="53">
        <f t="shared" si="120"/>
        <v>39</v>
      </c>
      <c r="Z169" s="53" t="s">
        <v>57</v>
      </c>
      <c r="AB169" s="50">
        <v>9</v>
      </c>
      <c r="AC169" s="56" t="s">
        <v>8</v>
      </c>
      <c r="AD169" s="11"/>
      <c r="AE169" s="55">
        <v>6</v>
      </c>
      <c r="AF169" s="55">
        <v>6</v>
      </c>
      <c r="AG169" s="55">
        <v>3</v>
      </c>
      <c r="AH169" s="53">
        <f t="shared" si="121"/>
        <v>56.160000000000004</v>
      </c>
      <c r="AI169" s="53"/>
      <c r="AK169" s="50">
        <v>9</v>
      </c>
      <c r="AL169" s="56" t="s">
        <v>8</v>
      </c>
      <c r="AM169" s="11"/>
      <c r="AN169" s="55">
        <v>5</v>
      </c>
      <c r="AO169" s="55">
        <v>5</v>
      </c>
      <c r="AP169" s="55">
        <v>2</v>
      </c>
      <c r="AQ169" s="53">
        <f t="shared" si="122"/>
        <v>26</v>
      </c>
      <c r="AR169" s="53"/>
      <c r="AT169" s="50">
        <v>9</v>
      </c>
      <c r="AU169" s="56" t="s">
        <v>8</v>
      </c>
      <c r="AV169" s="11"/>
      <c r="AW169" s="55">
        <v>6</v>
      </c>
      <c r="AX169" s="55">
        <v>6</v>
      </c>
      <c r="AY169" s="55">
        <v>3</v>
      </c>
      <c r="AZ169" s="53">
        <f t="shared" si="123"/>
        <v>56.160000000000004</v>
      </c>
      <c r="BA169" s="53"/>
      <c r="BC169" s="50">
        <v>9</v>
      </c>
      <c r="BD169" s="56" t="s">
        <v>8</v>
      </c>
      <c r="BE169" s="11"/>
      <c r="BF169" s="55">
        <v>6</v>
      </c>
      <c r="BG169" s="55">
        <v>6</v>
      </c>
      <c r="BH169" s="55">
        <v>4</v>
      </c>
      <c r="BI169" s="53">
        <f t="shared" si="124"/>
        <v>74.88</v>
      </c>
      <c r="BJ169" s="53"/>
      <c r="BL169" s="50">
        <v>9</v>
      </c>
      <c r="BM169" s="56" t="s">
        <v>8</v>
      </c>
      <c r="BN169" s="11"/>
      <c r="BO169" s="55" t="s">
        <v>49</v>
      </c>
      <c r="BP169" s="55"/>
      <c r="BQ169" s="55"/>
      <c r="BR169" s="75">
        <v>0</v>
      </c>
      <c r="BS169" s="53"/>
      <c r="BU169" s="50">
        <v>9</v>
      </c>
      <c r="BV169" s="56" t="s">
        <v>8</v>
      </c>
      <c r="BW169" s="11"/>
      <c r="CA169" s="75">
        <f t="shared" si="126"/>
        <v>0</v>
      </c>
      <c r="CB169" s="53"/>
      <c r="CD169" s="50">
        <v>9</v>
      </c>
      <c r="CE169" s="56" t="s">
        <v>8</v>
      </c>
      <c r="CF169" s="11"/>
      <c r="CG169" s="15" t="s">
        <v>49</v>
      </c>
      <c r="CH169" s="15"/>
      <c r="CI169" s="15"/>
      <c r="CJ169" s="75">
        <v>0</v>
      </c>
      <c r="CK169" s="53"/>
      <c r="CM169" s="50">
        <v>9</v>
      </c>
      <c r="CN169" s="56" t="s">
        <v>8</v>
      </c>
      <c r="CO169" s="11"/>
      <c r="CP169" s="15" t="s">
        <v>49</v>
      </c>
      <c r="CQ169" s="15"/>
      <c r="CR169" s="15"/>
      <c r="CS169" s="75">
        <v>0</v>
      </c>
      <c r="CT169" s="53"/>
      <c r="CV169" s="50">
        <v>9</v>
      </c>
      <c r="CW169" s="56" t="s">
        <v>8</v>
      </c>
      <c r="CX169" s="11"/>
      <c r="CY169" s="18" t="s">
        <v>49</v>
      </c>
      <c r="CZ169" s="15"/>
      <c r="DA169" s="15"/>
      <c r="DB169" s="75">
        <v>0</v>
      </c>
      <c r="DC169" s="53"/>
      <c r="DE169" s="50">
        <v>9</v>
      </c>
      <c r="DF169" s="56" t="s">
        <v>8</v>
      </c>
      <c r="DG169" s="11"/>
      <c r="DH169" s="18" t="s">
        <v>49</v>
      </c>
      <c r="DI169" s="15"/>
      <c r="DJ169" s="15"/>
      <c r="DK169" s="75">
        <v>0</v>
      </c>
      <c r="DL169" s="53"/>
      <c r="DN169" s="50">
        <v>9</v>
      </c>
      <c r="DO169" s="56" t="s">
        <v>8</v>
      </c>
      <c r="DP169" s="11"/>
      <c r="DQ169" s="15" t="s">
        <v>49</v>
      </c>
      <c r="DR169" s="15"/>
      <c r="DS169" s="15"/>
      <c r="DT169" s="75">
        <v>0</v>
      </c>
      <c r="DU169" s="53"/>
      <c r="DX169" s="88"/>
    </row>
    <row r="170" spans="1:128" x14ac:dyDescent="0.25">
      <c r="A170" s="20" t="s">
        <v>9</v>
      </c>
      <c r="B170" s="20"/>
      <c r="C170" s="21"/>
      <c r="D170" s="22"/>
      <c r="E170" s="22"/>
      <c r="F170" s="22"/>
      <c r="G170" s="21">
        <f>AVERAGE(G161:G169)</f>
        <v>28.599999999999998</v>
      </c>
      <c r="H170" s="21"/>
      <c r="J170" s="20" t="s">
        <v>9</v>
      </c>
      <c r="K170" s="20"/>
      <c r="L170" s="21"/>
      <c r="M170" s="22"/>
      <c r="N170" s="22"/>
      <c r="O170" s="22"/>
      <c r="P170" s="21">
        <f>AVERAGE(P161:P169)</f>
        <v>36.391044444444447</v>
      </c>
      <c r="Q170" s="21"/>
      <c r="S170" s="20" t="s">
        <v>9</v>
      </c>
      <c r="T170" s="20"/>
      <c r="U170" s="21"/>
      <c r="V170" s="22"/>
      <c r="W170" s="22"/>
      <c r="X170" s="22"/>
      <c r="Y170" s="21">
        <f>AVERAGE(Y161:Y169)</f>
        <v>81.582800000000006</v>
      </c>
      <c r="Z170" s="21"/>
      <c r="AB170" s="20" t="s">
        <v>9</v>
      </c>
      <c r="AC170" s="20"/>
      <c r="AD170" s="21"/>
      <c r="AE170" s="22"/>
      <c r="AF170" s="22"/>
      <c r="AG170" s="22"/>
      <c r="AH170" s="21">
        <f>AVERAGE(AH161:AH169)</f>
        <v>59.237706666666668</v>
      </c>
      <c r="AI170" s="21"/>
      <c r="AK170" s="20" t="s">
        <v>9</v>
      </c>
      <c r="AL170" s="20"/>
      <c r="AM170" s="21"/>
      <c r="AN170" s="22"/>
      <c r="AO170" s="22"/>
      <c r="AP170" s="22"/>
      <c r="AQ170" s="21">
        <f>AVERAGE(AQ161:AQ169)</f>
        <v>54.496000000000002</v>
      </c>
      <c r="AR170" s="21"/>
      <c r="AT170" s="20" t="s">
        <v>9</v>
      </c>
      <c r="AU170" s="20"/>
      <c r="AV170" s="21"/>
      <c r="AW170" s="22"/>
      <c r="AX170" s="22"/>
      <c r="AY170" s="22"/>
      <c r="AZ170" s="21">
        <f>AVERAGE(AZ161:AZ169)</f>
        <v>50.086399999999998</v>
      </c>
      <c r="BA170" s="21"/>
      <c r="BC170" s="20" t="s">
        <v>9</v>
      </c>
      <c r="BD170" s="20"/>
      <c r="BE170" s="21"/>
      <c r="BF170" s="22"/>
      <c r="BG170" s="22"/>
      <c r="BH170" s="22"/>
      <c r="BI170" s="21">
        <f>AVERAGE(BI161:BI169)</f>
        <v>49.63111111111111</v>
      </c>
      <c r="BJ170" s="21"/>
      <c r="BL170" s="20" t="s">
        <v>9</v>
      </c>
      <c r="BM170" s="20"/>
      <c r="BN170" s="21"/>
      <c r="BO170" s="22"/>
      <c r="BP170" s="22"/>
      <c r="BQ170" s="22"/>
      <c r="BR170" s="21">
        <f>AVERAGE(BR161:BR169)</f>
        <v>21.666666666666668</v>
      </c>
      <c r="BS170" s="21"/>
      <c r="BU170" s="20" t="s">
        <v>9</v>
      </c>
      <c r="BV170" s="20"/>
      <c r="BW170" s="21"/>
      <c r="BX170" s="22"/>
      <c r="BY170" s="22"/>
      <c r="BZ170" s="22"/>
      <c r="CA170" s="21">
        <f>AVERAGE(CA161:CA169)</f>
        <v>54.754266666666673</v>
      </c>
      <c r="CB170" s="21"/>
      <c r="CD170" s="20" t="s">
        <v>9</v>
      </c>
      <c r="CE170" s="20"/>
      <c r="CF170" s="21"/>
      <c r="CG170" s="22"/>
      <c r="CH170" s="22"/>
      <c r="CI170" s="22"/>
      <c r="CJ170" s="21">
        <f>AVERAGE(CJ161:CJ169)</f>
        <v>66.025555555555556</v>
      </c>
      <c r="CK170" s="21"/>
      <c r="CM170" s="20" t="s">
        <v>9</v>
      </c>
      <c r="CN170" s="20"/>
      <c r="CO170" s="21"/>
      <c r="CP170" s="22"/>
      <c r="CQ170" s="22"/>
      <c r="CR170" s="22"/>
      <c r="CS170" s="21">
        <f>AVERAGE(CS161:CS169)</f>
        <v>89.123493333333329</v>
      </c>
      <c r="CT170" s="21"/>
      <c r="CV170" s="20" t="s">
        <v>9</v>
      </c>
      <c r="CW170" s="20"/>
      <c r="CX170" s="21"/>
      <c r="CY170" s="22"/>
      <c r="CZ170" s="22"/>
      <c r="DA170" s="22"/>
      <c r="DB170" s="21">
        <f>AVERAGE(DB161:DB169)</f>
        <v>434.25500444444447</v>
      </c>
      <c r="DC170" s="21"/>
      <c r="DE170" s="20" t="s">
        <v>9</v>
      </c>
      <c r="DF170" s="20"/>
      <c r="DG170" s="21"/>
      <c r="DH170" s="22"/>
      <c r="DI170" s="22"/>
      <c r="DJ170" s="22"/>
      <c r="DK170" s="21">
        <f>AVERAGE(DK161:DK169)</f>
        <v>397.63022000000001</v>
      </c>
      <c r="DL170" s="21"/>
      <c r="DN170" s="20" t="s">
        <v>9</v>
      </c>
      <c r="DO170" s="20"/>
      <c r="DP170" s="21"/>
      <c r="DQ170" s="22"/>
      <c r="DR170" s="22"/>
      <c r="DS170" s="22"/>
      <c r="DT170" s="21">
        <f>AVERAGE(DT161:DT169)</f>
        <v>781.21160000000009</v>
      </c>
      <c r="DU170" s="21"/>
    </row>
    <row r="171" spans="1:128" x14ac:dyDescent="0.25">
      <c r="A171" s="20" t="s">
        <v>10</v>
      </c>
      <c r="B171" s="20"/>
      <c r="C171" s="22"/>
      <c r="D171" s="22"/>
      <c r="E171" s="22"/>
      <c r="F171" s="22"/>
      <c r="G171" s="21">
        <f>AVEDEV(G161:G169)</f>
        <v>9.2444444444444454</v>
      </c>
      <c r="H171" s="21"/>
      <c r="J171" s="20" t="s">
        <v>10</v>
      </c>
      <c r="K171" s="20"/>
      <c r="L171" s="22"/>
      <c r="M171" s="22"/>
      <c r="N171" s="22"/>
      <c r="O171" s="22"/>
      <c r="P171" s="21">
        <f>AVEDEV(P161:P169)</f>
        <v>7.9749382716049375</v>
      </c>
      <c r="Q171" s="21"/>
      <c r="S171" s="20" t="s">
        <v>10</v>
      </c>
      <c r="T171" s="20"/>
      <c r="U171" s="22"/>
      <c r="V171" s="22"/>
      <c r="W171" s="22"/>
      <c r="X171" s="22"/>
      <c r="Y171" s="21">
        <f>AVEDEV(Y161:Y169)</f>
        <v>24.678044444444442</v>
      </c>
      <c r="Z171" s="21"/>
      <c r="AB171" s="20" t="s">
        <v>10</v>
      </c>
      <c r="AC171" s="20"/>
      <c r="AD171" s="22"/>
      <c r="AE171" s="22"/>
      <c r="AF171" s="22"/>
      <c r="AG171" s="22"/>
      <c r="AH171" s="21">
        <f>AVEDEV(AH161:AH169)</f>
        <v>10.717007407407412</v>
      </c>
      <c r="AI171" s="21"/>
      <c r="AK171" s="20" t="s">
        <v>10</v>
      </c>
      <c r="AL171" s="20"/>
      <c r="AM171" s="22"/>
      <c r="AN171" s="22"/>
      <c r="AO171" s="22"/>
      <c r="AP171" s="22"/>
      <c r="AQ171" s="21">
        <f>AVEDEV(AQ161:AQ169)</f>
        <v>22.672000000000001</v>
      </c>
      <c r="AR171" s="21"/>
      <c r="AT171" s="20" t="s">
        <v>10</v>
      </c>
      <c r="AU171" s="20"/>
      <c r="AV171" s="22"/>
      <c r="AW171" s="22"/>
      <c r="AX171" s="22"/>
      <c r="AY171" s="22"/>
      <c r="AZ171" s="21">
        <f>AVEDEV(AZ161:AZ169)</f>
        <v>8.3292444444444449</v>
      </c>
      <c r="BA171" s="21"/>
      <c r="BC171" s="20" t="s">
        <v>10</v>
      </c>
      <c r="BD171" s="20"/>
      <c r="BE171" s="22"/>
      <c r="BF171" s="22"/>
      <c r="BG171" s="22"/>
      <c r="BH171" s="22"/>
      <c r="BI171" s="21">
        <f>AVEDEV(BI161:BI169)</f>
        <v>23.367901234567896</v>
      </c>
      <c r="BJ171" s="21"/>
      <c r="BL171" s="20" t="s">
        <v>10</v>
      </c>
      <c r="BM171" s="20"/>
      <c r="BN171" s="22"/>
      <c r="BO171" s="22"/>
      <c r="BP171" s="22"/>
      <c r="BQ171" s="22"/>
      <c r="BR171" s="21">
        <f>AVEDEV(BR161:BR169)</f>
        <v>27.4637037037037</v>
      </c>
      <c r="BS171" s="21"/>
      <c r="BU171" s="20" t="s">
        <v>10</v>
      </c>
      <c r="BV171" s="20"/>
      <c r="BW171" s="22"/>
      <c r="BX171" s="22"/>
      <c r="BY171" s="22"/>
      <c r="BZ171" s="22"/>
      <c r="CA171" s="21">
        <f>AVEDEV(CA161:CA169)</f>
        <v>76.506637037037052</v>
      </c>
      <c r="CB171" s="21"/>
      <c r="CD171" s="20" t="s">
        <v>10</v>
      </c>
      <c r="CE171" s="20"/>
      <c r="CF171" s="22"/>
      <c r="CG171" s="22"/>
      <c r="CH171" s="22"/>
      <c r="CI171" s="22"/>
      <c r="CJ171" s="21">
        <f>AVEDEV(CJ161:CJ169)</f>
        <v>88.034074074074084</v>
      </c>
      <c r="CK171" s="21"/>
      <c r="CM171" s="20" t="s">
        <v>10</v>
      </c>
      <c r="CN171" s="20"/>
      <c r="CO171" s="22"/>
      <c r="CP171" s="22"/>
      <c r="CQ171" s="22"/>
      <c r="CR171" s="22"/>
      <c r="CS171" s="21">
        <f>AVEDEV(CS161:CS169)</f>
        <v>120.1938785185185</v>
      </c>
      <c r="CT171" s="21"/>
      <c r="CV171" s="20" t="s">
        <v>10</v>
      </c>
      <c r="CW171" s="20"/>
      <c r="CX171" s="22"/>
      <c r="CY171" s="22"/>
      <c r="CZ171" s="22"/>
      <c r="DA171" s="22"/>
      <c r="DB171" s="21">
        <f>AVEDEV(DB161:DB169)</f>
        <v>579.00667259259251</v>
      </c>
      <c r="DC171" s="21"/>
      <c r="DE171" s="20" t="s">
        <v>10</v>
      </c>
      <c r="DF171" s="20"/>
      <c r="DG171" s="22"/>
      <c r="DH171" s="22"/>
      <c r="DI171" s="22"/>
      <c r="DJ171" s="22"/>
      <c r="DK171" s="21">
        <f>AVEDEV(DK161:DK169)</f>
        <v>596.44533000000001</v>
      </c>
      <c r="DL171" s="21"/>
      <c r="DN171" s="20" t="s">
        <v>10</v>
      </c>
      <c r="DO171" s="20"/>
      <c r="DP171" s="22"/>
      <c r="DQ171" s="22"/>
      <c r="DR171" s="22"/>
      <c r="DS171" s="22"/>
      <c r="DT171" s="21">
        <f>AVEDEV(DT161:DT169)</f>
        <v>1171.8174000000004</v>
      </c>
      <c r="DU171" s="21"/>
    </row>
    <row r="174" spans="1:128" x14ac:dyDescent="0.25">
      <c r="A174" s="57" t="s">
        <v>34</v>
      </c>
      <c r="B174" s="57"/>
      <c r="G174" s="5" t="s">
        <v>41</v>
      </c>
      <c r="J174" s="57" t="s">
        <v>34</v>
      </c>
      <c r="K174" s="57"/>
      <c r="P174" s="5" t="s">
        <v>46</v>
      </c>
      <c r="S174" s="57" t="s">
        <v>34</v>
      </c>
      <c r="T174" s="57"/>
      <c r="Y174" s="5" t="s">
        <v>55</v>
      </c>
      <c r="AB174" s="57" t="s">
        <v>34</v>
      </c>
      <c r="AC174" s="57"/>
      <c r="AH174" s="5"/>
      <c r="AK174" s="57" t="s">
        <v>34</v>
      </c>
      <c r="AL174" s="57"/>
      <c r="AQ174" s="5"/>
      <c r="AT174" s="57" t="s">
        <v>34</v>
      </c>
      <c r="AU174" s="57"/>
      <c r="AZ174" s="5"/>
      <c r="BC174" s="57" t="s">
        <v>34</v>
      </c>
      <c r="BD174" s="57"/>
      <c r="BL174" s="57" t="s">
        <v>34</v>
      </c>
      <c r="BM174" s="57"/>
      <c r="BR174" s="5"/>
      <c r="BU174" s="57" t="s">
        <v>34</v>
      </c>
      <c r="BV174" s="57"/>
      <c r="CA174" s="5"/>
      <c r="CD174" s="57" t="s">
        <v>34</v>
      </c>
      <c r="CE174" s="57"/>
      <c r="CJ174" s="5"/>
      <c r="CM174" s="57" t="s">
        <v>34</v>
      </c>
      <c r="CN174" s="57"/>
      <c r="CS174" s="5"/>
      <c r="CV174" s="57" t="s">
        <v>34</v>
      </c>
      <c r="CW174" s="57"/>
      <c r="DB174" s="5"/>
      <c r="DE174" s="57" t="s">
        <v>34</v>
      </c>
      <c r="DF174" s="57"/>
      <c r="DK174" s="5"/>
      <c r="DN174" s="57" t="s">
        <v>34</v>
      </c>
      <c r="DO174" s="57"/>
      <c r="DT174" s="5"/>
    </row>
    <row r="175" spans="1:128" x14ac:dyDescent="0.25">
      <c r="A175" s="58"/>
      <c r="B175" s="58"/>
      <c r="G175" s="7" t="s">
        <v>23</v>
      </c>
      <c r="J175" s="58"/>
      <c r="K175" s="58"/>
      <c r="P175" s="7" t="s">
        <v>43</v>
      </c>
      <c r="S175" s="58"/>
      <c r="T175" s="58"/>
      <c r="Y175" s="7" t="s">
        <v>50</v>
      </c>
      <c r="AB175" s="58"/>
      <c r="AC175" s="58"/>
      <c r="AH175" s="7" t="s">
        <v>58</v>
      </c>
      <c r="AK175" s="58"/>
      <c r="AL175" s="58"/>
      <c r="AQ175" s="7" t="s">
        <v>63</v>
      </c>
      <c r="AT175" s="58"/>
      <c r="AU175" s="58"/>
      <c r="AZ175" s="7" t="s">
        <v>66</v>
      </c>
      <c r="BC175" s="58"/>
      <c r="BD175" s="58"/>
      <c r="BI175" s="7" t="s">
        <v>69</v>
      </c>
      <c r="BL175" s="58"/>
      <c r="BM175" s="58"/>
      <c r="BR175" s="7" t="s">
        <v>71</v>
      </c>
      <c r="BU175" s="58"/>
      <c r="BV175" s="58"/>
      <c r="CA175" s="7" t="s">
        <v>75</v>
      </c>
      <c r="CD175" s="58"/>
      <c r="CE175" s="58"/>
      <c r="CJ175" s="7" t="s">
        <v>77</v>
      </c>
      <c r="CM175" s="58"/>
      <c r="CN175" s="58"/>
      <c r="CS175" s="7" t="s">
        <v>81</v>
      </c>
      <c r="CV175" s="58"/>
      <c r="CW175" s="58"/>
      <c r="DB175" s="7" t="s">
        <v>84</v>
      </c>
      <c r="DE175" s="58"/>
      <c r="DF175" s="58"/>
      <c r="DK175" s="7" t="s">
        <v>86</v>
      </c>
      <c r="DN175" s="58"/>
      <c r="DO175" s="58"/>
      <c r="DT175" s="7" t="s">
        <v>88</v>
      </c>
    </row>
    <row r="176" spans="1:128" x14ac:dyDescent="0.25">
      <c r="A176" s="67" t="s">
        <v>35</v>
      </c>
      <c r="B176" s="57"/>
      <c r="J176" s="67" t="s">
        <v>35</v>
      </c>
      <c r="K176" s="57"/>
      <c r="S176" s="67" t="s">
        <v>35</v>
      </c>
      <c r="T176" s="57"/>
      <c r="AB176" s="67" t="s">
        <v>35</v>
      </c>
      <c r="AC176" s="57"/>
      <c r="AK176" s="67" t="s">
        <v>35</v>
      </c>
      <c r="AL176" s="57"/>
      <c r="AT176" s="67" t="s">
        <v>35</v>
      </c>
      <c r="AU176" s="57"/>
      <c r="BC176" s="67" t="s">
        <v>35</v>
      </c>
      <c r="BD176" s="57"/>
      <c r="BL176" s="67" t="s">
        <v>35</v>
      </c>
      <c r="BM176" s="57"/>
      <c r="BU176" s="67" t="s">
        <v>35</v>
      </c>
      <c r="BV176" s="57"/>
      <c r="CD176" s="67" t="s">
        <v>35</v>
      </c>
      <c r="CE176" s="57"/>
      <c r="CM176" s="67" t="s">
        <v>35</v>
      </c>
      <c r="CN176" s="57"/>
      <c r="CV176" s="67" t="s">
        <v>35</v>
      </c>
      <c r="CW176" s="57"/>
      <c r="DE176" s="67" t="s">
        <v>35</v>
      </c>
      <c r="DF176" s="57"/>
      <c r="DN176" s="67" t="s">
        <v>35</v>
      </c>
      <c r="DO176" s="57"/>
    </row>
    <row r="177" spans="1:128" x14ac:dyDescent="0.25">
      <c r="A177" s="58"/>
      <c r="B177" s="58"/>
      <c r="C177" s="9">
        <v>45810</v>
      </c>
      <c r="J177" s="58"/>
      <c r="K177" s="58"/>
      <c r="L177" s="9">
        <v>45813</v>
      </c>
      <c r="S177" s="58"/>
      <c r="T177" s="58"/>
      <c r="U177" s="9">
        <v>45816</v>
      </c>
      <c r="AB177" s="58"/>
      <c r="AC177" s="58"/>
      <c r="AD177" s="9">
        <v>45819</v>
      </c>
      <c r="AE177" s="9"/>
      <c r="AF177" s="9"/>
      <c r="AG177" s="9"/>
      <c r="AK177" s="58"/>
      <c r="AL177" s="58"/>
      <c r="AM177" s="9">
        <v>45822</v>
      </c>
      <c r="AT177" s="58"/>
      <c r="AU177" s="58"/>
      <c r="AV177" s="9">
        <v>45825</v>
      </c>
      <c r="BC177" s="58"/>
      <c r="BD177" s="58"/>
      <c r="BE177" s="9">
        <v>45828</v>
      </c>
      <c r="BF177" s="9"/>
      <c r="BG177" s="9"/>
      <c r="BH177" s="9"/>
      <c r="BL177" s="58"/>
      <c r="BM177" s="58"/>
      <c r="BN177" s="9">
        <v>45832</v>
      </c>
      <c r="BO177" s="9"/>
      <c r="BP177" s="9"/>
      <c r="BQ177" s="9"/>
      <c r="BU177" s="58"/>
      <c r="BV177" s="58"/>
      <c r="BW177" s="9">
        <v>45836</v>
      </c>
      <c r="CD177" s="58"/>
      <c r="CE177" s="58"/>
      <c r="CF177" s="9">
        <v>45839</v>
      </c>
      <c r="CM177" s="58"/>
      <c r="CN177" s="58"/>
      <c r="CO177" s="9">
        <v>45844</v>
      </c>
      <c r="CV177" s="58"/>
      <c r="CW177" s="58"/>
      <c r="CX177" s="9">
        <v>45849</v>
      </c>
      <c r="DE177" s="58"/>
      <c r="DF177" s="58"/>
      <c r="DG177" s="9">
        <v>45855</v>
      </c>
      <c r="DN177" s="58"/>
      <c r="DO177" s="58"/>
      <c r="DP177" s="9">
        <v>45859</v>
      </c>
    </row>
    <row r="178" spans="1:128" x14ac:dyDescent="0.25">
      <c r="A178" s="59"/>
      <c r="B178" s="59"/>
      <c r="C178" s="11"/>
      <c r="D178" s="11" t="s">
        <v>3</v>
      </c>
      <c r="E178" s="11" t="s">
        <v>4</v>
      </c>
      <c r="F178" s="11" t="s">
        <v>5</v>
      </c>
      <c r="G178" s="60" t="s">
        <v>6</v>
      </c>
      <c r="H178" s="61" t="s">
        <v>7</v>
      </c>
      <c r="J178" s="59"/>
      <c r="K178" s="59"/>
      <c r="L178" s="11"/>
      <c r="M178" s="11" t="s">
        <v>3</v>
      </c>
      <c r="N178" s="11" t="s">
        <v>4</v>
      </c>
      <c r="O178" s="11" t="s">
        <v>5</v>
      </c>
      <c r="P178" s="60" t="s">
        <v>6</v>
      </c>
      <c r="Q178" s="61" t="s">
        <v>7</v>
      </c>
      <c r="S178" s="59"/>
      <c r="T178" s="59"/>
      <c r="U178" s="11"/>
      <c r="V178" s="11" t="s">
        <v>3</v>
      </c>
      <c r="W178" s="11" t="s">
        <v>4</v>
      </c>
      <c r="X178" s="11" t="s">
        <v>5</v>
      </c>
      <c r="Y178" s="60" t="s">
        <v>6</v>
      </c>
      <c r="Z178" s="61" t="s">
        <v>7</v>
      </c>
      <c r="AB178" s="59"/>
      <c r="AC178" s="59"/>
      <c r="AD178" s="11"/>
      <c r="AE178" s="11" t="s">
        <v>3</v>
      </c>
      <c r="AF178" s="11" t="s">
        <v>4</v>
      </c>
      <c r="AG178" s="11" t="s">
        <v>5</v>
      </c>
      <c r="AH178" s="60" t="s">
        <v>6</v>
      </c>
      <c r="AI178" s="61" t="s">
        <v>7</v>
      </c>
      <c r="AK178" s="59"/>
      <c r="AL178" s="59"/>
      <c r="AM178" s="11"/>
      <c r="AN178" s="11" t="s">
        <v>3</v>
      </c>
      <c r="AO178" s="11" t="s">
        <v>4</v>
      </c>
      <c r="AP178" s="11" t="s">
        <v>5</v>
      </c>
      <c r="AQ178" s="60" t="s">
        <v>6</v>
      </c>
      <c r="AR178" s="61" t="s">
        <v>7</v>
      </c>
      <c r="AT178" s="59"/>
      <c r="AU178" s="59"/>
      <c r="AV178" s="11"/>
      <c r="AW178" s="11" t="s">
        <v>3</v>
      </c>
      <c r="AX178" s="11" t="s">
        <v>4</v>
      </c>
      <c r="AY178" s="11" t="s">
        <v>5</v>
      </c>
      <c r="AZ178" s="60" t="s">
        <v>6</v>
      </c>
      <c r="BA178" s="61" t="s">
        <v>7</v>
      </c>
      <c r="BC178" s="59"/>
      <c r="BD178" s="59"/>
      <c r="BE178" s="11"/>
      <c r="BF178" s="11" t="s">
        <v>3</v>
      </c>
      <c r="BG178" s="11" t="s">
        <v>4</v>
      </c>
      <c r="BH178" s="11" t="s">
        <v>5</v>
      </c>
      <c r="BI178" s="60" t="s">
        <v>6</v>
      </c>
      <c r="BJ178" s="61" t="s">
        <v>7</v>
      </c>
      <c r="BL178" s="59"/>
      <c r="BM178" s="59"/>
      <c r="BN178" s="11"/>
      <c r="BO178" s="11" t="s">
        <v>3</v>
      </c>
      <c r="BP178" s="11" t="s">
        <v>4</v>
      </c>
      <c r="BQ178" s="11" t="s">
        <v>5</v>
      </c>
      <c r="BR178" s="60" t="s">
        <v>6</v>
      </c>
      <c r="BS178" s="61"/>
      <c r="BU178" s="59"/>
      <c r="BV178" s="59"/>
      <c r="BW178" s="11"/>
      <c r="BX178" s="11" t="s">
        <v>3</v>
      </c>
      <c r="BY178" s="11" t="s">
        <v>4</v>
      </c>
      <c r="BZ178" s="11" t="s">
        <v>5</v>
      </c>
      <c r="CA178" s="60" t="s">
        <v>6</v>
      </c>
      <c r="CB178" s="61"/>
      <c r="CD178" s="59"/>
      <c r="CE178" s="59"/>
      <c r="CF178" s="11"/>
      <c r="CG178" s="11" t="s">
        <v>3</v>
      </c>
      <c r="CH178" s="11" t="s">
        <v>4</v>
      </c>
      <c r="CI178" s="11" t="s">
        <v>5</v>
      </c>
      <c r="CJ178" s="60" t="s">
        <v>6</v>
      </c>
      <c r="CK178" s="61"/>
      <c r="CM178" s="59"/>
      <c r="CN178" s="59"/>
      <c r="CO178" s="11"/>
      <c r="CP178" s="11" t="s">
        <v>3</v>
      </c>
      <c r="CQ178" s="11" t="s">
        <v>4</v>
      </c>
      <c r="CR178" s="11" t="s">
        <v>5</v>
      </c>
      <c r="CS178" s="60" t="s">
        <v>6</v>
      </c>
      <c r="CT178" s="61"/>
      <c r="CV178" s="59"/>
      <c r="CW178" s="59"/>
      <c r="CX178" s="11"/>
      <c r="CY178" s="11" t="s">
        <v>3</v>
      </c>
      <c r="CZ178" s="11" t="s">
        <v>4</v>
      </c>
      <c r="DA178" s="11" t="s">
        <v>5</v>
      </c>
      <c r="DB178" s="60" t="s">
        <v>6</v>
      </c>
      <c r="DC178" s="61"/>
      <c r="DE178" s="59"/>
      <c r="DF178" s="59"/>
      <c r="DG178" s="11"/>
      <c r="DH178" s="11" t="s">
        <v>3</v>
      </c>
      <c r="DI178" s="11" t="s">
        <v>4</v>
      </c>
      <c r="DJ178" s="11" t="s">
        <v>5</v>
      </c>
      <c r="DK178" s="60" t="s">
        <v>6</v>
      </c>
      <c r="DL178" s="61"/>
      <c r="DN178" s="59"/>
      <c r="DO178" s="59"/>
      <c r="DP178" s="11"/>
      <c r="DQ178" s="11" t="s">
        <v>3</v>
      </c>
      <c r="DR178" s="11" t="s">
        <v>4</v>
      </c>
      <c r="DS178" s="11" t="s">
        <v>5</v>
      </c>
      <c r="DT178" s="60" t="s">
        <v>6</v>
      </c>
      <c r="DU178" s="61"/>
    </row>
    <row r="179" spans="1:128" x14ac:dyDescent="0.25">
      <c r="A179" s="59">
        <v>1</v>
      </c>
      <c r="B179" s="59">
        <v>1</v>
      </c>
      <c r="C179" s="29"/>
      <c r="D179" s="14">
        <v>3</v>
      </c>
      <c r="E179" s="14">
        <v>3</v>
      </c>
      <c r="F179" s="14">
        <v>2</v>
      </c>
      <c r="G179" s="62">
        <f>D179*E179*F179*0.52</f>
        <v>9.36</v>
      </c>
      <c r="H179" s="66"/>
      <c r="J179" s="59">
        <v>1</v>
      </c>
      <c r="K179" s="59">
        <v>1</v>
      </c>
      <c r="L179" s="29"/>
      <c r="M179" s="14">
        <v>5.8</v>
      </c>
      <c r="N179" s="14">
        <v>5</v>
      </c>
      <c r="O179" s="14">
        <v>3</v>
      </c>
      <c r="P179" s="62">
        <f>M179*N179*O179*0.52</f>
        <v>45.24</v>
      </c>
      <c r="Q179" s="66"/>
      <c r="S179" s="59">
        <v>1</v>
      </c>
      <c r="T179" s="59">
        <v>1</v>
      </c>
      <c r="U179" s="29"/>
      <c r="V179" s="14">
        <v>5.3</v>
      </c>
      <c r="W179" s="14">
        <v>5.5</v>
      </c>
      <c r="X179" s="14">
        <v>3</v>
      </c>
      <c r="Y179" s="62">
        <f>V179*W179*X179*0.52</f>
        <v>45.473999999999997</v>
      </c>
      <c r="Z179" s="66"/>
      <c r="AB179" s="59">
        <v>1</v>
      </c>
      <c r="AC179" s="59">
        <v>1</v>
      </c>
      <c r="AD179" s="29"/>
      <c r="AE179" s="14">
        <v>7</v>
      </c>
      <c r="AF179" s="14">
        <v>6</v>
      </c>
      <c r="AG179" s="14">
        <v>5</v>
      </c>
      <c r="AH179" s="62">
        <f>AE179*AF179*AG179*0.52</f>
        <v>109.2</v>
      </c>
      <c r="AI179" s="66"/>
      <c r="AK179" s="59">
        <v>1</v>
      </c>
      <c r="AL179" s="59">
        <v>1</v>
      </c>
      <c r="AM179" s="29"/>
      <c r="AN179" s="14">
        <v>10.8</v>
      </c>
      <c r="AO179" s="14">
        <v>8.8000000000000007</v>
      </c>
      <c r="AP179" s="14">
        <v>4.8</v>
      </c>
      <c r="AQ179" s="62">
        <f>AN179*AO179*AP179*0.52</f>
        <v>237.21984000000003</v>
      </c>
      <c r="AR179" s="66"/>
      <c r="AT179" s="59">
        <v>1</v>
      </c>
      <c r="AU179" s="59">
        <v>1</v>
      </c>
      <c r="AV179" s="29"/>
      <c r="AW179" s="14">
        <v>7</v>
      </c>
      <c r="AX179" s="14">
        <v>6</v>
      </c>
      <c r="AY179" s="14">
        <v>4.5</v>
      </c>
      <c r="AZ179" s="62">
        <f>AW179*AX179*AY179*0.52</f>
        <v>98.28</v>
      </c>
      <c r="BA179" s="66"/>
      <c r="BC179" s="59">
        <v>1</v>
      </c>
      <c r="BD179" s="59">
        <v>1</v>
      </c>
      <c r="BE179" s="29"/>
      <c r="BF179" s="14">
        <v>11.5</v>
      </c>
      <c r="BG179" s="14">
        <v>8</v>
      </c>
      <c r="BH179" s="14">
        <v>6.3</v>
      </c>
      <c r="BI179" s="62">
        <f>BF179*BG179*BH179*0.52</f>
        <v>301.392</v>
      </c>
      <c r="BJ179" s="66"/>
      <c r="BL179" s="59">
        <v>1</v>
      </c>
      <c r="BM179" s="59">
        <v>1</v>
      </c>
      <c r="BN179" s="29"/>
      <c r="BO179" s="14">
        <v>11</v>
      </c>
      <c r="BP179" s="14">
        <v>16</v>
      </c>
      <c r="BQ179" s="14">
        <v>8.1999999999999993</v>
      </c>
      <c r="BR179" s="62">
        <f>BO179*BP179*BQ179*0.52</f>
        <v>750.46399999999994</v>
      </c>
      <c r="BS179" s="66"/>
      <c r="BU179" s="59">
        <v>1</v>
      </c>
      <c r="BV179" s="59">
        <v>1</v>
      </c>
      <c r="BW179" s="29"/>
      <c r="BX179" s="14">
        <v>21</v>
      </c>
      <c r="BY179" s="14">
        <v>16</v>
      </c>
      <c r="BZ179" s="14">
        <v>11</v>
      </c>
      <c r="CA179" s="62">
        <f>BX179*BY179*BZ179*0.52</f>
        <v>1921.92</v>
      </c>
      <c r="CB179" s="66"/>
      <c r="CD179" s="59">
        <v>1</v>
      </c>
      <c r="CE179" s="59">
        <v>1</v>
      </c>
      <c r="CF179" s="29"/>
      <c r="CG179" s="14">
        <v>29</v>
      </c>
      <c r="CH179" s="14">
        <v>16</v>
      </c>
      <c r="CI179" s="14">
        <v>10</v>
      </c>
      <c r="CJ179" s="82">
        <f>CG179*CH179*CI179*0.52</f>
        <v>2412.8000000000002</v>
      </c>
      <c r="CK179" s="66" t="s">
        <v>78</v>
      </c>
      <c r="CM179" s="59">
        <v>1</v>
      </c>
      <c r="CN179" s="59">
        <v>1</v>
      </c>
      <c r="CO179" s="29"/>
      <c r="CP179" s="82"/>
      <c r="CQ179" s="82"/>
      <c r="CR179" s="82"/>
      <c r="CS179" s="82"/>
      <c r="CT179" s="66" t="s">
        <v>78</v>
      </c>
      <c r="CV179" s="59">
        <v>1</v>
      </c>
      <c r="CW179" s="59">
        <v>1</v>
      </c>
      <c r="CX179" s="29"/>
      <c r="CY179" s="85"/>
      <c r="CZ179" s="85"/>
      <c r="DA179" s="85"/>
      <c r="DB179" s="82"/>
      <c r="DC179" s="66" t="s">
        <v>78</v>
      </c>
      <c r="DE179" s="59">
        <v>1</v>
      </c>
      <c r="DF179" s="59">
        <v>1</v>
      </c>
      <c r="DG179" s="29"/>
      <c r="DH179" s="85"/>
      <c r="DI179" s="85"/>
      <c r="DJ179" s="85"/>
      <c r="DK179" s="82"/>
      <c r="DL179" s="66" t="s">
        <v>78</v>
      </c>
      <c r="DN179" s="59">
        <v>1</v>
      </c>
      <c r="DO179" s="59">
        <v>1</v>
      </c>
      <c r="DP179" s="29"/>
      <c r="DQ179" s="85"/>
      <c r="DR179" s="85"/>
      <c r="DS179" s="85"/>
      <c r="DT179" s="82"/>
      <c r="DU179" s="66" t="s">
        <v>78</v>
      </c>
      <c r="DX179">
        <v>33</v>
      </c>
    </row>
    <row r="180" spans="1:128" x14ac:dyDescent="0.25">
      <c r="A180" s="59">
        <v>2</v>
      </c>
      <c r="B180" s="59">
        <v>2</v>
      </c>
      <c r="C180" s="32"/>
      <c r="D180" s="14">
        <v>4</v>
      </c>
      <c r="E180" s="14">
        <v>3</v>
      </c>
      <c r="F180" s="14">
        <v>2.5</v>
      </c>
      <c r="G180" s="62">
        <f t="shared" ref="G180:G187" si="132">D180*E180*F180*0.52</f>
        <v>15.600000000000001</v>
      </c>
      <c r="H180" s="66"/>
      <c r="J180" s="59">
        <v>2</v>
      </c>
      <c r="K180" s="59">
        <v>2</v>
      </c>
      <c r="L180" s="32"/>
      <c r="M180" s="14">
        <v>6.8</v>
      </c>
      <c r="N180" s="14">
        <v>5.4</v>
      </c>
      <c r="O180" s="14">
        <v>3</v>
      </c>
      <c r="P180" s="62">
        <f t="shared" ref="P180:P187" si="133">M180*N180*O180*0.52</f>
        <v>57.283200000000001</v>
      </c>
      <c r="Q180" s="66"/>
      <c r="S180" s="59">
        <v>2</v>
      </c>
      <c r="T180" s="59">
        <v>2</v>
      </c>
      <c r="U180" s="32"/>
      <c r="V180" s="14">
        <v>7.9</v>
      </c>
      <c r="W180" s="14">
        <v>7.2</v>
      </c>
      <c r="X180" s="14">
        <v>4</v>
      </c>
      <c r="Y180" s="62">
        <f t="shared" ref="Y180:Y187" si="134">V180*W180*X180*0.52</f>
        <v>118.31040000000002</v>
      </c>
      <c r="Z180" s="66"/>
      <c r="AB180" s="59">
        <v>2</v>
      </c>
      <c r="AC180" s="59">
        <v>2</v>
      </c>
      <c r="AD180" s="32"/>
      <c r="AE180" s="97">
        <v>10</v>
      </c>
      <c r="AF180" s="97">
        <v>8</v>
      </c>
      <c r="AG180" s="97">
        <v>6</v>
      </c>
      <c r="AH180" s="62">
        <f t="shared" ref="AH180:AH187" si="135">AE180*AF180*AG180*0.52</f>
        <v>249.60000000000002</v>
      </c>
      <c r="AI180" s="66"/>
      <c r="AK180" s="59">
        <v>2</v>
      </c>
      <c r="AL180" s="59">
        <v>2</v>
      </c>
      <c r="AM180" s="32"/>
      <c r="AN180" s="14">
        <v>11.3</v>
      </c>
      <c r="AO180" s="14">
        <v>9</v>
      </c>
      <c r="AP180" s="14">
        <v>5.7</v>
      </c>
      <c r="AQ180" s="62">
        <f t="shared" ref="AQ180:AQ187" si="136">AN180*AO180*AP180*0.52</f>
        <v>301.43880000000001</v>
      </c>
      <c r="AR180" s="66"/>
      <c r="AT180" s="59">
        <v>2</v>
      </c>
      <c r="AU180" s="59">
        <v>2</v>
      </c>
      <c r="AV180" s="32"/>
      <c r="AW180" s="14">
        <v>10</v>
      </c>
      <c r="AX180" s="14">
        <v>10</v>
      </c>
      <c r="AY180" s="14">
        <v>5.6</v>
      </c>
      <c r="AZ180" s="62">
        <f t="shared" ref="AZ180:AZ187" si="137">AW180*AX180*AY180*0.52</f>
        <v>291.2</v>
      </c>
      <c r="BA180" s="66"/>
      <c r="BC180" s="59">
        <v>2</v>
      </c>
      <c r="BD180" s="59">
        <v>2</v>
      </c>
      <c r="BE180" s="32"/>
      <c r="BF180" s="14">
        <v>14.6</v>
      </c>
      <c r="BG180" s="14">
        <v>14.3</v>
      </c>
      <c r="BH180" s="14">
        <v>7.5</v>
      </c>
      <c r="BI180" s="62">
        <f t="shared" ref="BI180:BI187" si="138">BF180*BG180*BH180*0.52</f>
        <v>814.24199999999996</v>
      </c>
      <c r="BJ180" s="66"/>
      <c r="BL180" s="59">
        <v>2</v>
      </c>
      <c r="BM180" s="59">
        <v>2</v>
      </c>
      <c r="BN180" s="32"/>
      <c r="BO180" s="14">
        <v>18</v>
      </c>
      <c r="BP180" s="14">
        <v>14</v>
      </c>
      <c r="BQ180" s="14">
        <v>9</v>
      </c>
      <c r="BR180" s="62">
        <f t="shared" ref="BR180:BR187" si="139">BO180*BP180*BQ180*0.52</f>
        <v>1179.3600000000001</v>
      </c>
      <c r="BS180" s="66"/>
      <c r="BU180" s="59">
        <v>2</v>
      </c>
      <c r="BV180" s="59">
        <v>2</v>
      </c>
      <c r="BW180" s="32"/>
      <c r="BX180" s="14">
        <v>23</v>
      </c>
      <c r="BY180" s="14">
        <v>21</v>
      </c>
      <c r="BZ180" s="14">
        <v>11</v>
      </c>
      <c r="CA180" s="76">
        <f t="shared" ref="CA180:CA187" si="140">BX180*BY180*BZ180*0.52</f>
        <v>2762.76</v>
      </c>
      <c r="CB180" s="66" t="s">
        <v>74</v>
      </c>
      <c r="CD180" s="59">
        <v>2</v>
      </c>
      <c r="CE180" s="59">
        <v>2</v>
      </c>
      <c r="CF180" s="32"/>
      <c r="CG180" s="76"/>
      <c r="CH180" s="76"/>
      <c r="CI180" s="76"/>
      <c r="CJ180" s="76"/>
      <c r="CK180" s="66" t="s">
        <v>74</v>
      </c>
      <c r="CM180" s="59">
        <v>2</v>
      </c>
      <c r="CN180" s="59">
        <v>2</v>
      </c>
      <c r="CO180" s="32"/>
      <c r="CP180" s="76"/>
      <c r="CQ180" s="76"/>
      <c r="CR180" s="76"/>
      <c r="CS180" s="76"/>
      <c r="CT180" s="66" t="s">
        <v>74</v>
      </c>
      <c r="CV180" s="59">
        <v>2</v>
      </c>
      <c r="CW180" s="59">
        <v>2</v>
      </c>
      <c r="CX180" s="32"/>
      <c r="CY180" s="76"/>
      <c r="CZ180" s="76"/>
      <c r="DA180" s="76"/>
      <c r="DB180" s="76"/>
      <c r="DC180" s="66" t="s">
        <v>74</v>
      </c>
      <c r="DE180" s="59">
        <v>2</v>
      </c>
      <c r="DF180" s="59">
        <v>2</v>
      </c>
      <c r="DG180" s="32"/>
      <c r="DH180" s="76"/>
      <c r="DI180" s="76"/>
      <c r="DJ180" s="76"/>
      <c r="DK180" s="76"/>
      <c r="DL180" s="66" t="s">
        <v>74</v>
      </c>
      <c r="DN180" s="59">
        <v>2</v>
      </c>
      <c r="DO180" s="59">
        <v>2</v>
      </c>
      <c r="DP180" s="32"/>
      <c r="DQ180" s="76"/>
      <c r="DR180" s="76"/>
      <c r="DS180" s="76"/>
      <c r="DT180" s="76"/>
      <c r="DU180" s="66" t="s">
        <v>74</v>
      </c>
      <c r="DX180">
        <v>33</v>
      </c>
    </row>
    <row r="181" spans="1:128" x14ac:dyDescent="0.25">
      <c r="A181" s="59">
        <v>3</v>
      </c>
      <c r="B181" s="59">
        <v>3</v>
      </c>
      <c r="C181" s="33"/>
      <c r="D181" s="14">
        <v>3</v>
      </c>
      <c r="E181" s="14">
        <v>3</v>
      </c>
      <c r="F181" s="14">
        <v>3</v>
      </c>
      <c r="G181" s="62">
        <f t="shared" si="132"/>
        <v>14.040000000000001</v>
      </c>
      <c r="H181" s="66"/>
      <c r="J181" s="59">
        <v>3</v>
      </c>
      <c r="K181" s="59">
        <v>3</v>
      </c>
      <c r="L181" s="33"/>
      <c r="M181" s="14">
        <v>7.5</v>
      </c>
      <c r="N181" s="14">
        <v>7.2</v>
      </c>
      <c r="O181" s="14">
        <v>3.9</v>
      </c>
      <c r="P181" s="62">
        <f t="shared" si="133"/>
        <v>109.512</v>
      </c>
      <c r="Q181" s="66"/>
      <c r="S181" s="59">
        <v>3</v>
      </c>
      <c r="T181" s="59">
        <v>3</v>
      </c>
      <c r="U181" s="33"/>
      <c r="V181" s="14">
        <v>9</v>
      </c>
      <c r="W181" s="14">
        <v>9</v>
      </c>
      <c r="X181" s="14">
        <v>5.7</v>
      </c>
      <c r="Y181" s="62">
        <f t="shared" si="134"/>
        <v>240.084</v>
      </c>
      <c r="Z181" s="66"/>
      <c r="AB181" s="59">
        <v>3</v>
      </c>
      <c r="AC181" s="59">
        <v>3</v>
      </c>
      <c r="AD181" s="93"/>
      <c r="AE181" s="97">
        <v>9</v>
      </c>
      <c r="AF181" s="97">
        <v>8</v>
      </c>
      <c r="AG181" s="97">
        <v>5</v>
      </c>
      <c r="AH181" s="62">
        <f t="shared" si="135"/>
        <v>187.20000000000002</v>
      </c>
      <c r="AI181" s="66"/>
      <c r="AK181" s="59">
        <v>3</v>
      </c>
      <c r="AL181" s="59">
        <v>3</v>
      </c>
      <c r="AM181" s="33"/>
      <c r="AN181" s="14">
        <v>12.8</v>
      </c>
      <c r="AO181" s="14">
        <v>10.8</v>
      </c>
      <c r="AP181" s="14">
        <v>7</v>
      </c>
      <c r="AQ181" s="62">
        <f t="shared" si="136"/>
        <v>503.19360000000006</v>
      </c>
      <c r="AR181" s="66"/>
      <c r="AT181" s="59">
        <v>3</v>
      </c>
      <c r="AU181" s="59">
        <v>3</v>
      </c>
      <c r="AV181" s="33"/>
      <c r="AW181" s="14">
        <v>10</v>
      </c>
      <c r="AX181" s="14">
        <v>10</v>
      </c>
      <c r="AY181" s="14">
        <v>7</v>
      </c>
      <c r="AZ181" s="62">
        <f t="shared" si="137"/>
        <v>364</v>
      </c>
      <c r="BA181" s="66"/>
      <c r="BC181" s="59">
        <v>3</v>
      </c>
      <c r="BD181" s="59">
        <v>3</v>
      </c>
      <c r="BE181" s="33"/>
      <c r="BF181" s="14">
        <v>14.1</v>
      </c>
      <c r="BG181" s="14">
        <v>11.2</v>
      </c>
      <c r="BH181" s="14">
        <v>10</v>
      </c>
      <c r="BI181" s="62">
        <f t="shared" si="138"/>
        <v>821.18399999999997</v>
      </c>
      <c r="BJ181" s="66"/>
      <c r="BL181" s="59">
        <v>3</v>
      </c>
      <c r="BM181" s="59">
        <v>3</v>
      </c>
      <c r="BN181" s="33"/>
      <c r="BO181" s="14">
        <v>14.8</v>
      </c>
      <c r="BP181" s="14">
        <v>14</v>
      </c>
      <c r="BQ181" s="14">
        <v>12</v>
      </c>
      <c r="BR181" s="62">
        <f t="shared" si="139"/>
        <v>1292.9280000000001</v>
      </c>
      <c r="BS181" s="66"/>
      <c r="BU181" s="59">
        <v>3</v>
      </c>
      <c r="BV181" s="59">
        <v>3</v>
      </c>
      <c r="BW181" s="33"/>
      <c r="BX181" s="14">
        <v>20</v>
      </c>
      <c r="BY181" s="14">
        <v>18</v>
      </c>
      <c r="BZ181" s="14">
        <v>12.3</v>
      </c>
      <c r="CA181" s="76">
        <f t="shared" si="140"/>
        <v>2302.56</v>
      </c>
      <c r="CB181" s="66" t="s">
        <v>74</v>
      </c>
      <c r="CD181" s="59">
        <v>3</v>
      </c>
      <c r="CE181" s="59">
        <v>3</v>
      </c>
      <c r="CF181" s="33"/>
      <c r="CG181" s="76"/>
      <c r="CH181" s="76"/>
      <c r="CI181" s="76"/>
      <c r="CJ181" s="76"/>
      <c r="CK181" s="66" t="s">
        <v>74</v>
      </c>
      <c r="CM181" s="59">
        <v>3</v>
      </c>
      <c r="CN181" s="59">
        <v>3</v>
      </c>
      <c r="CO181" s="33"/>
      <c r="CP181" s="76"/>
      <c r="CQ181" s="76"/>
      <c r="CR181" s="76"/>
      <c r="CS181" s="76"/>
      <c r="CT181" s="66" t="s">
        <v>74</v>
      </c>
      <c r="CV181" s="59">
        <v>3</v>
      </c>
      <c r="CW181" s="59">
        <v>3</v>
      </c>
      <c r="CX181" s="33"/>
      <c r="CY181" s="76"/>
      <c r="CZ181" s="76"/>
      <c r="DA181" s="76"/>
      <c r="DB181" s="76"/>
      <c r="DC181" s="66" t="s">
        <v>74</v>
      </c>
      <c r="DE181" s="59">
        <v>3</v>
      </c>
      <c r="DF181" s="59">
        <v>3</v>
      </c>
      <c r="DG181" s="33"/>
      <c r="DH181" s="76"/>
      <c r="DI181" s="76"/>
      <c r="DJ181" s="76"/>
      <c r="DK181" s="76"/>
      <c r="DL181" s="66" t="s">
        <v>74</v>
      </c>
      <c r="DN181" s="59">
        <v>3</v>
      </c>
      <c r="DO181" s="59">
        <v>3</v>
      </c>
      <c r="DP181" s="33"/>
      <c r="DQ181" s="76"/>
      <c r="DR181" s="76"/>
      <c r="DS181" s="76"/>
      <c r="DT181" s="76"/>
      <c r="DU181" s="66" t="s">
        <v>74</v>
      </c>
      <c r="DX181">
        <v>33</v>
      </c>
    </row>
    <row r="182" spans="1:128" x14ac:dyDescent="0.25">
      <c r="A182" s="59">
        <v>4</v>
      </c>
      <c r="B182" s="71">
        <v>5</v>
      </c>
      <c r="C182" s="33"/>
      <c r="D182" s="14">
        <v>3</v>
      </c>
      <c r="E182" s="14">
        <v>3</v>
      </c>
      <c r="F182" s="14">
        <v>3</v>
      </c>
      <c r="G182" s="62">
        <f t="shared" si="132"/>
        <v>14.040000000000001</v>
      </c>
      <c r="H182" s="66"/>
      <c r="J182" s="59">
        <v>4</v>
      </c>
      <c r="K182" s="71">
        <v>5</v>
      </c>
      <c r="L182" s="33"/>
      <c r="M182" s="14">
        <v>6</v>
      </c>
      <c r="N182" s="14">
        <v>7</v>
      </c>
      <c r="O182" s="14">
        <v>5</v>
      </c>
      <c r="P182" s="62">
        <f t="shared" si="133"/>
        <v>109.2</v>
      </c>
      <c r="Q182" s="66"/>
      <c r="S182" s="59">
        <v>4</v>
      </c>
      <c r="T182" s="71">
        <v>5</v>
      </c>
      <c r="U182" s="33">
        <v>5</v>
      </c>
      <c r="V182" s="14">
        <v>8.6999999999999993</v>
      </c>
      <c r="W182" s="14">
        <v>6.9</v>
      </c>
      <c r="X182" s="14">
        <v>4.3</v>
      </c>
      <c r="Y182" s="62">
        <f t="shared" si="134"/>
        <v>134.22708</v>
      </c>
      <c r="Z182" s="66"/>
      <c r="AB182" s="59">
        <v>4</v>
      </c>
      <c r="AC182" s="71">
        <v>5</v>
      </c>
      <c r="AD182" s="93"/>
      <c r="AE182" s="97">
        <v>10</v>
      </c>
      <c r="AF182" s="97">
        <v>8</v>
      </c>
      <c r="AG182" s="97">
        <v>5</v>
      </c>
      <c r="AH182" s="62">
        <v>208</v>
      </c>
      <c r="AI182" s="66"/>
      <c r="AK182" s="59">
        <v>4</v>
      </c>
      <c r="AL182" s="71">
        <v>5</v>
      </c>
      <c r="AM182" s="93"/>
      <c r="AN182" s="14">
        <v>10</v>
      </c>
      <c r="AO182" s="14">
        <v>10</v>
      </c>
      <c r="AP182" s="14">
        <v>5.9</v>
      </c>
      <c r="AQ182" s="62">
        <f t="shared" si="136"/>
        <v>306.8</v>
      </c>
      <c r="AR182" s="66" t="s">
        <v>64</v>
      </c>
      <c r="AT182" s="59">
        <v>4</v>
      </c>
      <c r="AU182" s="71">
        <v>5</v>
      </c>
      <c r="AV182" s="33"/>
      <c r="AW182" s="14">
        <v>7</v>
      </c>
      <c r="AX182" s="14">
        <v>5</v>
      </c>
      <c r="AY182" s="14">
        <v>5</v>
      </c>
      <c r="AZ182" s="62">
        <f t="shared" si="137"/>
        <v>91</v>
      </c>
      <c r="BA182" s="66"/>
      <c r="BC182" s="59">
        <v>4</v>
      </c>
      <c r="BD182" s="71">
        <v>4</v>
      </c>
      <c r="BE182" s="33"/>
      <c r="BF182" s="14">
        <v>6</v>
      </c>
      <c r="BG182" s="14">
        <v>6</v>
      </c>
      <c r="BH182" s="14">
        <v>5</v>
      </c>
      <c r="BI182" s="62">
        <f t="shared" si="138"/>
        <v>93.600000000000009</v>
      </c>
      <c r="BJ182" s="66"/>
      <c r="BL182" s="59">
        <v>4</v>
      </c>
      <c r="BM182" s="71">
        <v>4</v>
      </c>
      <c r="BN182" s="33"/>
      <c r="BO182" s="14">
        <v>7</v>
      </c>
      <c r="BP182" s="14">
        <v>7</v>
      </c>
      <c r="BQ182" s="14">
        <v>7</v>
      </c>
      <c r="BR182" s="62">
        <f t="shared" si="139"/>
        <v>178.36</v>
      </c>
      <c r="BS182" s="66"/>
      <c r="BU182" s="59">
        <v>4</v>
      </c>
      <c r="BV182" s="71">
        <v>4</v>
      </c>
      <c r="BW182" s="33"/>
      <c r="BX182" s="14">
        <v>10</v>
      </c>
      <c r="BY182" s="14">
        <v>10</v>
      </c>
      <c r="BZ182" s="14">
        <v>7</v>
      </c>
      <c r="CA182" s="62">
        <f t="shared" si="140"/>
        <v>364</v>
      </c>
      <c r="CB182" s="66"/>
      <c r="CD182" s="59">
        <v>4</v>
      </c>
      <c r="CE182" s="71">
        <v>4</v>
      </c>
      <c r="CF182" s="33"/>
      <c r="CG182" s="14">
        <v>15</v>
      </c>
      <c r="CH182" s="14">
        <v>14.6</v>
      </c>
      <c r="CI182" s="14">
        <v>10.3</v>
      </c>
      <c r="CJ182" s="62">
        <f t="shared" ref="CJ182:CJ187" si="141">CG182*CH182*CI182*0.52</f>
        <v>1172.9640000000002</v>
      </c>
      <c r="CK182" s="66"/>
      <c r="CM182" s="59">
        <v>4</v>
      </c>
      <c r="CN182" s="71">
        <v>4</v>
      </c>
      <c r="CO182" s="33"/>
      <c r="CP182" s="14">
        <v>18.600000000000001</v>
      </c>
      <c r="CQ182" s="14">
        <v>18</v>
      </c>
      <c r="CR182" s="14">
        <v>9.3000000000000007</v>
      </c>
      <c r="CS182" s="62">
        <f t="shared" ref="CS182:CS184" si="142">CP182*CQ182*CR182*0.52</f>
        <v>1619.0928000000001</v>
      </c>
      <c r="CT182" s="66"/>
      <c r="CV182" s="59">
        <v>4</v>
      </c>
      <c r="CW182" s="71">
        <v>4</v>
      </c>
      <c r="CX182" s="33"/>
      <c r="CY182" s="14">
        <v>24.9</v>
      </c>
      <c r="CZ182" s="14">
        <v>21.3</v>
      </c>
      <c r="DA182" s="14">
        <v>17</v>
      </c>
      <c r="DB182" s="76">
        <f t="shared" ref="DB182" si="143">CY182*CZ182*DA182*0.52</f>
        <v>4688.470800000001</v>
      </c>
      <c r="DC182" s="66" t="s">
        <v>85</v>
      </c>
      <c r="DE182" s="59">
        <v>4</v>
      </c>
      <c r="DF182" s="71">
        <v>4</v>
      </c>
      <c r="DG182" s="33"/>
      <c r="DH182" s="76"/>
      <c r="DI182" s="76"/>
      <c r="DJ182" s="76"/>
      <c r="DK182" s="76"/>
      <c r="DL182" s="66" t="s">
        <v>85</v>
      </c>
      <c r="DN182" s="59">
        <v>4</v>
      </c>
      <c r="DO182" s="71">
        <v>4</v>
      </c>
      <c r="DP182" s="33"/>
      <c r="DQ182" s="76"/>
      <c r="DR182" s="76"/>
      <c r="DS182" s="76"/>
      <c r="DT182" s="76"/>
      <c r="DU182" s="66" t="s">
        <v>85</v>
      </c>
      <c r="DX182">
        <v>36</v>
      </c>
    </row>
    <row r="183" spans="1:128" x14ac:dyDescent="0.25">
      <c r="A183" s="59">
        <v>5</v>
      </c>
      <c r="B183" s="59">
        <v>6</v>
      </c>
      <c r="C183" s="33"/>
      <c r="D183" s="14">
        <v>5</v>
      </c>
      <c r="E183" s="14">
        <v>5</v>
      </c>
      <c r="F183" s="14">
        <v>3</v>
      </c>
      <c r="G183" s="62">
        <f t="shared" si="132"/>
        <v>39</v>
      </c>
      <c r="H183" s="66"/>
      <c r="J183" s="59">
        <v>5</v>
      </c>
      <c r="K183" s="59">
        <v>6</v>
      </c>
      <c r="L183" s="33"/>
      <c r="M183" s="14">
        <v>3</v>
      </c>
      <c r="N183" s="14">
        <v>3</v>
      </c>
      <c r="O183" s="14">
        <v>3</v>
      </c>
      <c r="P183" s="62">
        <f t="shared" si="133"/>
        <v>14.040000000000001</v>
      </c>
      <c r="Q183" s="66"/>
      <c r="S183" s="59">
        <v>5</v>
      </c>
      <c r="T183" s="59">
        <v>6</v>
      </c>
      <c r="U183" s="33">
        <v>6</v>
      </c>
      <c r="V183" s="14">
        <v>3</v>
      </c>
      <c r="W183" s="14">
        <v>3</v>
      </c>
      <c r="X183" s="14">
        <v>3</v>
      </c>
      <c r="Y183" s="62">
        <f t="shared" si="134"/>
        <v>14.040000000000001</v>
      </c>
      <c r="Z183" s="66"/>
      <c r="AB183" s="59">
        <v>5</v>
      </c>
      <c r="AC183" s="59">
        <v>6</v>
      </c>
      <c r="AD183" s="91"/>
      <c r="AE183" s="97">
        <v>3</v>
      </c>
      <c r="AF183" s="97">
        <v>3</v>
      </c>
      <c r="AG183" s="97">
        <v>3</v>
      </c>
      <c r="AH183" s="62">
        <f t="shared" si="135"/>
        <v>14.040000000000001</v>
      </c>
      <c r="AI183" s="66"/>
      <c r="AK183" s="59">
        <v>5</v>
      </c>
      <c r="AL183" s="59">
        <v>6</v>
      </c>
      <c r="AM183" s="93"/>
      <c r="AN183" s="14">
        <v>3</v>
      </c>
      <c r="AO183" s="14">
        <v>3</v>
      </c>
      <c r="AP183" s="14">
        <v>3</v>
      </c>
      <c r="AQ183" s="62">
        <f t="shared" si="136"/>
        <v>14.040000000000001</v>
      </c>
      <c r="AR183" s="66"/>
      <c r="AT183" s="59">
        <v>5</v>
      </c>
      <c r="AU183" s="59">
        <v>6</v>
      </c>
      <c r="AV183" s="33"/>
      <c r="AW183" s="14">
        <v>3</v>
      </c>
      <c r="AX183" s="14">
        <v>3</v>
      </c>
      <c r="AY183" s="14">
        <v>3</v>
      </c>
      <c r="AZ183" s="62">
        <f t="shared" si="137"/>
        <v>14.040000000000001</v>
      </c>
      <c r="BA183" s="66"/>
      <c r="BC183" s="59">
        <v>5</v>
      </c>
      <c r="BD183" s="59">
        <v>6</v>
      </c>
      <c r="BE183" s="33"/>
      <c r="BF183" s="14">
        <v>3</v>
      </c>
      <c r="BG183" s="14">
        <v>3</v>
      </c>
      <c r="BH183" s="14">
        <v>3</v>
      </c>
      <c r="BI183" s="62">
        <f t="shared" si="138"/>
        <v>14.040000000000001</v>
      </c>
      <c r="BJ183" s="66"/>
      <c r="BL183" s="59">
        <v>5</v>
      </c>
      <c r="BM183" s="59">
        <v>6</v>
      </c>
      <c r="BN183" s="33"/>
      <c r="BO183" s="14">
        <v>3</v>
      </c>
      <c r="BP183" s="14">
        <v>3</v>
      </c>
      <c r="BQ183" s="14">
        <v>3</v>
      </c>
      <c r="BR183" s="62">
        <f t="shared" si="139"/>
        <v>14.040000000000001</v>
      </c>
      <c r="BS183" s="66"/>
      <c r="BU183" s="59">
        <v>5</v>
      </c>
      <c r="BV183" s="59">
        <v>6</v>
      </c>
      <c r="BW183" s="33"/>
      <c r="BX183" s="14" t="s">
        <v>49</v>
      </c>
      <c r="BY183" s="14"/>
      <c r="BZ183" s="14"/>
      <c r="CA183" s="75">
        <v>0</v>
      </c>
      <c r="CB183" s="66"/>
      <c r="CD183" s="59">
        <v>5</v>
      </c>
      <c r="CE183" s="59">
        <v>6</v>
      </c>
      <c r="CF183" s="33"/>
      <c r="CG183" s="14" t="s">
        <v>49</v>
      </c>
      <c r="CH183" s="14"/>
      <c r="CI183" s="14"/>
      <c r="CJ183" s="75">
        <v>0</v>
      </c>
      <c r="CK183" s="66"/>
      <c r="CM183" s="59">
        <v>5</v>
      </c>
      <c r="CN183" s="59">
        <v>6</v>
      </c>
      <c r="CO183" s="33"/>
      <c r="CP183" s="14" t="s">
        <v>49</v>
      </c>
      <c r="CQ183" s="14"/>
      <c r="CR183" s="14"/>
      <c r="CS183" s="75">
        <v>0</v>
      </c>
      <c r="CT183" s="66"/>
      <c r="CV183" s="59">
        <v>5</v>
      </c>
      <c r="CW183" s="59">
        <v>6</v>
      </c>
      <c r="CX183" s="33"/>
      <c r="CY183" s="18" t="s">
        <v>49</v>
      </c>
      <c r="CZ183" s="15"/>
      <c r="DA183" s="15"/>
      <c r="DB183" s="75">
        <v>0</v>
      </c>
      <c r="DC183" s="66"/>
      <c r="DE183" s="59">
        <v>5</v>
      </c>
      <c r="DF183" s="59">
        <v>6</v>
      </c>
      <c r="DG183" s="33"/>
      <c r="DH183" s="18" t="s">
        <v>49</v>
      </c>
      <c r="DI183" s="15"/>
      <c r="DJ183" s="15"/>
      <c r="DK183" s="75">
        <v>0</v>
      </c>
      <c r="DL183" s="66"/>
      <c r="DN183" s="59">
        <v>5</v>
      </c>
      <c r="DO183" s="59">
        <v>6</v>
      </c>
      <c r="DP183" s="33"/>
      <c r="DQ183" s="15" t="s">
        <v>49</v>
      </c>
      <c r="DR183" s="15"/>
      <c r="DS183" s="15"/>
      <c r="DT183" s="75">
        <v>0</v>
      </c>
      <c r="DU183" s="66"/>
      <c r="DX183">
        <v>41</v>
      </c>
    </row>
    <row r="184" spans="1:128" x14ac:dyDescent="0.25">
      <c r="A184" s="59">
        <v>6</v>
      </c>
      <c r="B184" s="59">
        <v>14</v>
      </c>
      <c r="C184" s="33"/>
      <c r="D184" s="14">
        <v>4</v>
      </c>
      <c r="E184" s="14">
        <v>4</v>
      </c>
      <c r="F184" s="14">
        <v>3</v>
      </c>
      <c r="G184" s="62">
        <f t="shared" si="132"/>
        <v>24.96</v>
      </c>
      <c r="H184" s="66"/>
      <c r="J184" s="59">
        <v>6</v>
      </c>
      <c r="K184" s="59">
        <v>14</v>
      </c>
      <c r="L184" s="33"/>
      <c r="M184" s="14">
        <v>5.8</v>
      </c>
      <c r="N184" s="14">
        <v>5</v>
      </c>
      <c r="O184" s="14">
        <v>3.5</v>
      </c>
      <c r="P184" s="62">
        <f t="shared" si="133"/>
        <v>52.78</v>
      </c>
      <c r="Q184" s="66"/>
      <c r="S184" s="59">
        <v>6</v>
      </c>
      <c r="T184" s="59">
        <v>14</v>
      </c>
      <c r="U184" s="33"/>
      <c r="V184" s="14">
        <v>5</v>
      </c>
      <c r="W184" s="14">
        <v>5</v>
      </c>
      <c r="X184" s="14">
        <v>3</v>
      </c>
      <c r="Y184" s="62">
        <f t="shared" si="134"/>
        <v>39</v>
      </c>
      <c r="Z184" s="66"/>
      <c r="AB184" s="59">
        <v>6</v>
      </c>
      <c r="AC184" s="59">
        <v>14</v>
      </c>
      <c r="AD184" s="93"/>
      <c r="AE184" s="97">
        <v>7</v>
      </c>
      <c r="AF184" s="97">
        <v>6</v>
      </c>
      <c r="AG184" s="97">
        <v>4</v>
      </c>
      <c r="AH184" s="62">
        <v>87.36</v>
      </c>
      <c r="AI184" s="66"/>
      <c r="AK184" s="59">
        <v>6</v>
      </c>
      <c r="AL184" s="59">
        <v>14</v>
      </c>
      <c r="AM184" s="93"/>
      <c r="AN184" s="14">
        <v>7</v>
      </c>
      <c r="AO184" s="14">
        <v>7</v>
      </c>
      <c r="AP184" s="14">
        <v>5</v>
      </c>
      <c r="AQ184" s="62">
        <f t="shared" si="136"/>
        <v>127.4</v>
      </c>
      <c r="AR184" s="66"/>
      <c r="AT184" s="59">
        <v>6</v>
      </c>
      <c r="AU184" s="59">
        <v>14</v>
      </c>
      <c r="AV184" s="33"/>
      <c r="AW184" s="14">
        <v>8.5</v>
      </c>
      <c r="AX184" s="14">
        <v>8.5</v>
      </c>
      <c r="AY184" s="14">
        <v>5</v>
      </c>
      <c r="AZ184" s="62">
        <f t="shared" si="137"/>
        <v>187.85</v>
      </c>
      <c r="BA184" s="66"/>
      <c r="BC184" s="59">
        <v>6</v>
      </c>
      <c r="BD184" s="59">
        <v>14</v>
      </c>
      <c r="BE184" s="33"/>
      <c r="BF184" s="14">
        <v>11.1</v>
      </c>
      <c r="BG184" s="14">
        <v>9</v>
      </c>
      <c r="BH184" s="14">
        <v>6.4</v>
      </c>
      <c r="BI184" s="62">
        <f t="shared" si="138"/>
        <v>332.46719999999999</v>
      </c>
      <c r="BJ184" s="66"/>
      <c r="BL184" s="59">
        <v>6</v>
      </c>
      <c r="BM184" s="59">
        <v>14</v>
      </c>
      <c r="BN184" s="33"/>
      <c r="BO184" s="14">
        <v>10</v>
      </c>
      <c r="BP184" s="14">
        <v>10</v>
      </c>
      <c r="BQ184" s="14">
        <v>7</v>
      </c>
      <c r="BR184" s="62">
        <f t="shared" si="139"/>
        <v>364</v>
      </c>
      <c r="BS184" s="66"/>
      <c r="BU184" s="59">
        <v>6</v>
      </c>
      <c r="BV184" s="59">
        <v>14</v>
      </c>
      <c r="BW184" s="33"/>
      <c r="BX184" s="14">
        <v>10</v>
      </c>
      <c r="BY184" s="14">
        <v>10</v>
      </c>
      <c r="BZ184" s="14">
        <v>6</v>
      </c>
      <c r="CA184" s="62">
        <f t="shared" si="140"/>
        <v>312</v>
      </c>
      <c r="CB184" s="66"/>
      <c r="CD184" s="59">
        <v>6</v>
      </c>
      <c r="CE184" s="59">
        <v>14</v>
      </c>
      <c r="CF184" s="33"/>
      <c r="CG184" s="14">
        <v>14</v>
      </c>
      <c r="CH184" s="14">
        <v>16.7</v>
      </c>
      <c r="CI184" s="14">
        <v>9.1999999999999993</v>
      </c>
      <c r="CJ184" s="62">
        <f t="shared" si="141"/>
        <v>1118.4991999999997</v>
      </c>
      <c r="CK184" s="66"/>
      <c r="CM184" s="59">
        <v>6</v>
      </c>
      <c r="CN184" s="59">
        <v>14</v>
      </c>
      <c r="CO184" s="33"/>
      <c r="CP184" s="14">
        <v>20</v>
      </c>
      <c r="CQ184" s="14">
        <v>20</v>
      </c>
      <c r="CR184" s="14">
        <v>13</v>
      </c>
      <c r="CS184" s="82">
        <f t="shared" si="142"/>
        <v>2704</v>
      </c>
      <c r="CT184" s="66" t="s">
        <v>82</v>
      </c>
      <c r="CV184" s="59">
        <v>6</v>
      </c>
      <c r="CW184" s="59">
        <v>14</v>
      </c>
      <c r="CX184" s="33"/>
      <c r="CY184" s="85"/>
      <c r="CZ184" s="85"/>
      <c r="DA184" s="85"/>
      <c r="DB184" s="82"/>
      <c r="DC184" s="66" t="s">
        <v>82</v>
      </c>
      <c r="DE184" s="59">
        <v>6</v>
      </c>
      <c r="DF184" s="59">
        <v>14</v>
      </c>
      <c r="DG184" s="33"/>
      <c r="DH184" s="85"/>
      <c r="DI184" s="85"/>
      <c r="DJ184" s="85"/>
      <c r="DK184" s="82"/>
      <c r="DL184" s="66" t="s">
        <v>82</v>
      </c>
      <c r="DN184" s="59">
        <v>6</v>
      </c>
      <c r="DO184" s="59">
        <v>14</v>
      </c>
      <c r="DP184" s="33"/>
      <c r="DQ184" s="85"/>
      <c r="DR184" s="85"/>
      <c r="DS184" s="85"/>
      <c r="DT184" s="82"/>
      <c r="DU184" s="66" t="s">
        <v>82</v>
      </c>
      <c r="DX184">
        <v>46</v>
      </c>
    </row>
    <row r="185" spans="1:128" x14ac:dyDescent="0.25">
      <c r="A185" s="59">
        <v>7</v>
      </c>
      <c r="B185" s="63">
        <v>15</v>
      </c>
      <c r="C185" s="32"/>
      <c r="D185" s="34">
        <v>5</v>
      </c>
      <c r="E185" s="34">
        <v>5</v>
      </c>
      <c r="F185" s="34">
        <v>4</v>
      </c>
      <c r="G185" s="62">
        <f t="shared" si="132"/>
        <v>52</v>
      </c>
      <c r="H185" s="66"/>
      <c r="J185" s="59">
        <v>7</v>
      </c>
      <c r="K185" s="63">
        <v>15</v>
      </c>
      <c r="L185" s="32">
        <v>4</v>
      </c>
      <c r="M185" s="34">
        <v>5.5</v>
      </c>
      <c r="N185" s="34">
        <v>5</v>
      </c>
      <c r="O185" s="34">
        <v>4</v>
      </c>
      <c r="P185" s="62">
        <f t="shared" si="133"/>
        <v>57.2</v>
      </c>
      <c r="Q185" s="66"/>
      <c r="S185" s="59">
        <v>7</v>
      </c>
      <c r="T185" s="63">
        <v>15</v>
      </c>
      <c r="U185" s="32">
        <v>4</v>
      </c>
      <c r="V185" s="34">
        <v>5</v>
      </c>
      <c r="W185" s="34">
        <v>5</v>
      </c>
      <c r="X185" s="34">
        <v>3</v>
      </c>
      <c r="Y185" s="62">
        <f t="shared" si="134"/>
        <v>39</v>
      </c>
      <c r="Z185" s="66"/>
      <c r="AB185" s="59">
        <v>7</v>
      </c>
      <c r="AC185" s="63">
        <v>15</v>
      </c>
      <c r="AD185" s="94"/>
      <c r="AE185" s="34">
        <v>5</v>
      </c>
      <c r="AF185" s="34">
        <v>5</v>
      </c>
      <c r="AG185" s="34">
        <v>5</v>
      </c>
      <c r="AH185" s="62">
        <f t="shared" si="135"/>
        <v>65</v>
      </c>
      <c r="AI185" s="66"/>
      <c r="AK185" s="59">
        <v>7</v>
      </c>
      <c r="AL185" s="63">
        <v>15</v>
      </c>
      <c r="AM185" s="94"/>
      <c r="AN185" s="34">
        <v>4</v>
      </c>
      <c r="AO185" s="34">
        <v>4</v>
      </c>
      <c r="AP185" s="34">
        <v>3</v>
      </c>
      <c r="AQ185" s="62">
        <f t="shared" si="136"/>
        <v>24.96</v>
      </c>
      <c r="AR185" s="66"/>
      <c r="AT185" s="59">
        <v>7</v>
      </c>
      <c r="AU185" s="63">
        <v>15</v>
      </c>
      <c r="AV185" s="32"/>
      <c r="AW185" s="34">
        <v>8.3000000000000007</v>
      </c>
      <c r="AX185" s="34">
        <v>8</v>
      </c>
      <c r="AY185" s="34">
        <v>4</v>
      </c>
      <c r="AZ185" s="62">
        <f t="shared" si="137"/>
        <v>138.11200000000002</v>
      </c>
      <c r="BA185" s="66" t="s">
        <v>67</v>
      </c>
      <c r="BC185" s="59">
        <v>7</v>
      </c>
      <c r="BD185" s="63">
        <v>5</v>
      </c>
      <c r="BE185" s="32"/>
      <c r="BF185" s="34">
        <v>11</v>
      </c>
      <c r="BG185" s="34">
        <v>11</v>
      </c>
      <c r="BH185" s="34">
        <v>6.3</v>
      </c>
      <c r="BI185" s="62">
        <f t="shared" si="138"/>
        <v>396.39600000000002</v>
      </c>
      <c r="BJ185" s="66" t="s">
        <v>67</v>
      </c>
      <c r="BL185" s="59">
        <v>7</v>
      </c>
      <c r="BM185" s="79">
        <v>5</v>
      </c>
      <c r="BN185" s="32"/>
      <c r="BO185" s="34">
        <v>15</v>
      </c>
      <c r="BP185" s="34">
        <v>15</v>
      </c>
      <c r="BQ185" s="34">
        <v>9.8000000000000007</v>
      </c>
      <c r="BR185" s="62">
        <f t="shared" si="139"/>
        <v>1146.6000000000001</v>
      </c>
      <c r="BS185" s="66"/>
      <c r="BU185" s="59">
        <v>7</v>
      </c>
      <c r="BV185" s="63">
        <v>5</v>
      </c>
      <c r="BW185" s="32"/>
      <c r="BX185" s="34">
        <v>19.5</v>
      </c>
      <c r="BY185" s="34">
        <v>19</v>
      </c>
      <c r="BZ185" s="34">
        <v>11.4</v>
      </c>
      <c r="CA185" s="76">
        <f t="shared" si="140"/>
        <v>2196.3240000000001</v>
      </c>
      <c r="CB185" s="66" t="s">
        <v>74</v>
      </c>
      <c r="CD185" s="59">
        <v>7</v>
      </c>
      <c r="CE185" s="63">
        <v>5</v>
      </c>
      <c r="CF185" s="32"/>
      <c r="CG185" s="81"/>
      <c r="CH185" s="81"/>
      <c r="CI185" s="81"/>
      <c r="CJ185" s="76"/>
      <c r="CK185" s="66" t="s">
        <v>74</v>
      </c>
      <c r="CM185" s="59">
        <v>7</v>
      </c>
      <c r="CN185" s="63">
        <v>5</v>
      </c>
      <c r="CO185" s="32"/>
      <c r="CP185" s="81"/>
      <c r="CQ185" s="81"/>
      <c r="CR185" s="81"/>
      <c r="CS185" s="76"/>
      <c r="CT185" s="66" t="s">
        <v>74</v>
      </c>
      <c r="CV185" s="59">
        <v>7</v>
      </c>
      <c r="CW185" s="63">
        <v>5</v>
      </c>
      <c r="CX185" s="32"/>
      <c r="CY185" s="81"/>
      <c r="CZ185" s="81"/>
      <c r="DA185" s="81"/>
      <c r="DB185" s="76"/>
      <c r="DC185" s="66" t="s">
        <v>74</v>
      </c>
      <c r="DE185" s="59">
        <v>7</v>
      </c>
      <c r="DF185" s="63">
        <v>5</v>
      </c>
      <c r="DG185" s="32"/>
      <c r="DH185" s="81"/>
      <c r="DI185" s="81"/>
      <c r="DJ185" s="81"/>
      <c r="DK185" s="76"/>
      <c r="DL185" s="66" t="s">
        <v>74</v>
      </c>
      <c r="DN185" s="59">
        <v>7</v>
      </c>
      <c r="DO185" s="63">
        <v>5</v>
      </c>
      <c r="DP185" s="32"/>
      <c r="DQ185" s="81"/>
      <c r="DR185" s="81"/>
      <c r="DS185" s="81"/>
      <c r="DT185" s="76"/>
      <c r="DU185" s="66" t="s">
        <v>74</v>
      </c>
      <c r="DX185">
        <v>46</v>
      </c>
    </row>
    <row r="186" spans="1:128" x14ac:dyDescent="0.25">
      <c r="A186" s="59">
        <v>8</v>
      </c>
      <c r="B186" s="64" t="s">
        <v>8</v>
      </c>
      <c r="C186" s="32"/>
      <c r="D186" s="14">
        <v>5</v>
      </c>
      <c r="E186" s="14">
        <v>5</v>
      </c>
      <c r="F186" s="14">
        <v>3</v>
      </c>
      <c r="G186" s="62">
        <f t="shared" si="132"/>
        <v>39</v>
      </c>
      <c r="H186" s="66"/>
      <c r="J186" s="59">
        <v>8</v>
      </c>
      <c r="K186" s="64" t="s">
        <v>8</v>
      </c>
      <c r="L186" s="32"/>
      <c r="M186" s="14">
        <v>7.1</v>
      </c>
      <c r="N186" s="14">
        <v>5</v>
      </c>
      <c r="O186" s="14">
        <v>4</v>
      </c>
      <c r="P186" s="62">
        <f t="shared" si="133"/>
        <v>73.84</v>
      </c>
      <c r="Q186" s="66"/>
      <c r="S186" s="59">
        <v>8</v>
      </c>
      <c r="T186" s="64" t="s">
        <v>8</v>
      </c>
      <c r="U186" s="32"/>
      <c r="V186" s="14">
        <v>5.5</v>
      </c>
      <c r="W186" s="14">
        <v>4.5999999999999996</v>
      </c>
      <c r="X186" s="14">
        <v>4</v>
      </c>
      <c r="Y186" s="62">
        <f t="shared" si="134"/>
        <v>52.623999999999995</v>
      </c>
      <c r="Z186" s="66"/>
      <c r="AB186" s="59">
        <v>8</v>
      </c>
      <c r="AC186" s="64" t="s">
        <v>8</v>
      </c>
      <c r="AD186" s="94"/>
      <c r="AE186" s="14">
        <v>6</v>
      </c>
      <c r="AF186" s="14">
        <v>6</v>
      </c>
      <c r="AG186" s="14">
        <v>5</v>
      </c>
      <c r="AH186" s="62">
        <f t="shared" si="135"/>
        <v>93.600000000000009</v>
      </c>
      <c r="AI186" s="66"/>
      <c r="AK186" s="59">
        <v>8</v>
      </c>
      <c r="AL186" s="64" t="s">
        <v>8</v>
      </c>
      <c r="AM186" s="32"/>
      <c r="AN186" s="14">
        <v>5</v>
      </c>
      <c r="AO186" s="14">
        <v>5</v>
      </c>
      <c r="AP186" s="14">
        <v>4</v>
      </c>
      <c r="AQ186" s="62">
        <f t="shared" si="136"/>
        <v>52</v>
      </c>
      <c r="AR186" s="66"/>
      <c r="AT186" s="59">
        <v>8</v>
      </c>
      <c r="AU186" s="64" t="s">
        <v>8</v>
      </c>
      <c r="AV186" s="32"/>
      <c r="AW186" s="14">
        <v>5</v>
      </c>
      <c r="AX186" s="14">
        <v>6</v>
      </c>
      <c r="AY186" s="14">
        <v>4</v>
      </c>
      <c r="AZ186" s="62">
        <f t="shared" si="137"/>
        <v>62.400000000000006</v>
      </c>
      <c r="BA186" s="66"/>
      <c r="BC186" s="59">
        <v>8</v>
      </c>
      <c r="BD186" s="64" t="s">
        <v>8</v>
      </c>
      <c r="BE186" s="32"/>
      <c r="BF186" s="14">
        <v>5</v>
      </c>
      <c r="BG186" s="14">
        <v>5</v>
      </c>
      <c r="BH186" s="14">
        <v>5</v>
      </c>
      <c r="BI186" s="62">
        <f t="shared" si="138"/>
        <v>65</v>
      </c>
      <c r="BJ186" s="66"/>
      <c r="BL186" s="59">
        <v>8</v>
      </c>
      <c r="BM186" s="64" t="s">
        <v>8</v>
      </c>
      <c r="BN186" s="32"/>
      <c r="BO186" s="14">
        <v>7</v>
      </c>
      <c r="BP186" s="14">
        <v>8</v>
      </c>
      <c r="BQ186" s="14">
        <v>5</v>
      </c>
      <c r="BR186" s="62">
        <f t="shared" si="139"/>
        <v>145.6</v>
      </c>
      <c r="BS186" s="66"/>
      <c r="BU186" s="59">
        <v>8</v>
      </c>
      <c r="BV186" s="64" t="s">
        <v>8</v>
      </c>
      <c r="BW186" s="32"/>
      <c r="BX186" s="14">
        <v>13</v>
      </c>
      <c r="BY186" s="14">
        <v>8.9</v>
      </c>
      <c r="BZ186" s="14">
        <v>4.8</v>
      </c>
      <c r="CA186" s="62">
        <f t="shared" si="140"/>
        <v>288.78720000000004</v>
      </c>
      <c r="CB186" s="66"/>
      <c r="CD186" s="59">
        <v>8</v>
      </c>
      <c r="CE186" s="64" t="s">
        <v>8</v>
      </c>
      <c r="CF186" s="32"/>
      <c r="CG186" s="14">
        <v>14</v>
      </c>
      <c r="CH186" s="14">
        <v>12</v>
      </c>
      <c r="CI186" s="14">
        <v>5.5</v>
      </c>
      <c r="CJ186" s="62">
        <f t="shared" si="141"/>
        <v>480.48</v>
      </c>
      <c r="CK186" s="66"/>
      <c r="CM186" s="59">
        <v>8</v>
      </c>
      <c r="CN186" s="64" t="s">
        <v>8</v>
      </c>
      <c r="CO186" s="32"/>
      <c r="CP186" s="14">
        <v>20</v>
      </c>
      <c r="CQ186" s="14">
        <v>15.7</v>
      </c>
      <c r="CR186" s="14">
        <v>6</v>
      </c>
      <c r="CS186" s="62">
        <f t="shared" ref="CS186:CS187" si="144">CP186*CQ186*CR186*0.52</f>
        <v>979.68000000000006</v>
      </c>
      <c r="CT186" s="66"/>
      <c r="CV186" s="59">
        <v>8</v>
      </c>
      <c r="CW186" s="64" t="s">
        <v>8</v>
      </c>
      <c r="CX186" s="32"/>
      <c r="CY186" s="14">
        <v>24.5</v>
      </c>
      <c r="CZ186" s="14">
        <v>18.5</v>
      </c>
      <c r="DA186" s="14">
        <v>7.7</v>
      </c>
      <c r="DB186" s="62">
        <f t="shared" ref="DB186:DB187" si="145">CY186*CZ186*DA186*0.52</f>
        <v>1814.8130000000001</v>
      </c>
      <c r="DC186" s="66"/>
      <c r="DE186" s="59">
        <v>8</v>
      </c>
      <c r="DF186" s="64" t="s">
        <v>8</v>
      </c>
      <c r="DG186" s="32"/>
      <c r="DH186" s="14">
        <v>30</v>
      </c>
      <c r="DI186" s="14">
        <v>22.8</v>
      </c>
      <c r="DJ186" s="14">
        <v>8.1</v>
      </c>
      <c r="DK186" s="76">
        <f t="shared" ref="DK186" si="146">DH186*DI186*DJ186*0.52</f>
        <v>2881.0079999999998</v>
      </c>
      <c r="DL186" s="66" t="s">
        <v>87</v>
      </c>
      <c r="DN186" s="59">
        <v>8</v>
      </c>
      <c r="DO186" s="64" t="s">
        <v>8</v>
      </c>
      <c r="DP186" s="32"/>
      <c r="DQ186" s="76"/>
      <c r="DR186" s="76"/>
      <c r="DS186" s="76"/>
      <c r="DT186" s="76"/>
      <c r="DU186" s="66" t="s">
        <v>87</v>
      </c>
      <c r="DX186">
        <v>52</v>
      </c>
    </row>
    <row r="187" spans="1:128" x14ac:dyDescent="0.25">
      <c r="A187" s="59">
        <v>9</v>
      </c>
      <c r="B187" s="64" t="s">
        <v>40</v>
      </c>
      <c r="C187" s="32"/>
      <c r="D187" s="14">
        <v>3</v>
      </c>
      <c r="E187" s="14">
        <v>3</v>
      </c>
      <c r="F187" s="14">
        <v>3</v>
      </c>
      <c r="G187" s="62">
        <f t="shared" si="132"/>
        <v>14.040000000000001</v>
      </c>
      <c r="H187" s="66"/>
      <c r="J187" s="59">
        <v>9</v>
      </c>
      <c r="K187" s="64" t="s">
        <v>40</v>
      </c>
      <c r="L187" s="32"/>
      <c r="M187" s="14">
        <v>7.5</v>
      </c>
      <c r="N187" s="14">
        <v>4</v>
      </c>
      <c r="O187" s="14">
        <v>2.5</v>
      </c>
      <c r="P187" s="62">
        <f t="shared" si="133"/>
        <v>39</v>
      </c>
      <c r="Q187" s="66"/>
      <c r="S187" s="59">
        <v>9</v>
      </c>
      <c r="T187" s="64" t="s">
        <v>40</v>
      </c>
      <c r="U187" s="32"/>
      <c r="V187" s="14">
        <v>6</v>
      </c>
      <c r="W187" s="14">
        <v>6</v>
      </c>
      <c r="X187" s="14">
        <v>4</v>
      </c>
      <c r="Y187" s="62">
        <f t="shared" si="134"/>
        <v>74.88</v>
      </c>
      <c r="Z187" s="66"/>
      <c r="AB187" s="59">
        <v>9</v>
      </c>
      <c r="AC187" s="64" t="s">
        <v>40</v>
      </c>
      <c r="AD187" s="32"/>
      <c r="AE187" s="14">
        <v>5</v>
      </c>
      <c r="AF187" s="14">
        <v>5</v>
      </c>
      <c r="AG187" s="14">
        <v>3</v>
      </c>
      <c r="AH187" s="62">
        <f t="shared" si="135"/>
        <v>39</v>
      </c>
      <c r="AI187" s="66"/>
      <c r="AK187" s="59">
        <v>9</v>
      </c>
      <c r="AL187" s="64" t="s">
        <v>40</v>
      </c>
      <c r="AM187" s="32"/>
      <c r="AN187" s="14">
        <v>4</v>
      </c>
      <c r="AO187" s="14">
        <v>4</v>
      </c>
      <c r="AP187" s="14">
        <v>3</v>
      </c>
      <c r="AQ187" s="62">
        <f t="shared" si="136"/>
        <v>24.96</v>
      </c>
      <c r="AR187" s="66"/>
      <c r="AT187" s="59">
        <v>9</v>
      </c>
      <c r="AU187" s="64" t="s">
        <v>40</v>
      </c>
      <c r="AV187" s="32"/>
      <c r="AW187" s="14">
        <v>6</v>
      </c>
      <c r="AX187" s="14">
        <v>6</v>
      </c>
      <c r="AY187" s="14">
        <v>3</v>
      </c>
      <c r="AZ187" s="62">
        <f t="shared" si="137"/>
        <v>56.160000000000004</v>
      </c>
      <c r="BA187" s="66"/>
      <c r="BC187" s="59">
        <v>9</v>
      </c>
      <c r="BD187" s="64" t="s">
        <v>40</v>
      </c>
      <c r="BE187" s="32"/>
      <c r="BF187" s="14">
        <v>7</v>
      </c>
      <c r="BG187" s="14">
        <v>7</v>
      </c>
      <c r="BH187" s="14">
        <v>4</v>
      </c>
      <c r="BI187" s="62">
        <f t="shared" si="138"/>
        <v>101.92</v>
      </c>
      <c r="BJ187" s="66"/>
      <c r="BL187" s="59">
        <v>9</v>
      </c>
      <c r="BM187" s="64" t="s">
        <v>40</v>
      </c>
      <c r="BN187" s="32"/>
      <c r="BO187" s="14">
        <v>8</v>
      </c>
      <c r="BP187" s="14">
        <v>8</v>
      </c>
      <c r="BQ187" s="14">
        <v>6.5</v>
      </c>
      <c r="BR187" s="62">
        <f t="shared" si="139"/>
        <v>216.32</v>
      </c>
      <c r="BS187" s="66"/>
      <c r="BU187" s="59">
        <v>9</v>
      </c>
      <c r="BV187" s="64" t="s">
        <v>40</v>
      </c>
      <c r="BW187" s="32"/>
      <c r="BX187" s="14">
        <v>10</v>
      </c>
      <c r="BY187" s="14">
        <v>10</v>
      </c>
      <c r="BZ187" s="14">
        <v>6</v>
      </c>
      <c r="CA187" s="62">
        <f t="shared" si="140"/>
        <v>312</v>
      </c>
      <c r="CB187" s="66"/>
      <c r="CD187" s="59">
        <v>9</v>
      </c>
      <c r="CE187" s="64" t="s">
        <v>40</v>
      </c>
      <c r="CF187" s="32"/>
      <c r="CG187" s="14">
        <v>12</v>
      </c>
      <c r="CH187" s="14">
        <v>12</v>
      </c>
      <c r="CI187" s="14">
        <v>7.6</v>
      </c>
      <c r="CJ187" s="62">
        <f t="shared" si="141"/>
        <v>569.08799999999997</v>
      </c>
      <c r="CK187" s="66"/>
      <c r="CM187" s="59">
        <v>9</v>
      </c>
      <c r="CN187" s="64" t="s">
        <v>40</v>
      </c>
      <c r="CO187" s="32"/>
      <c r="CP187" s="14">
        <v>14.9</v>
      </c>
      <c r="CQ187" s="14">
        <v>16.600000000000001</v>
      </c>
      <c r="CR187" s="14">
        <v>5.9</v>
      </c>
      <c r="CS187" s="62">
        <f t="shared" si="144"/>
        <v>758.83912000000021</v>
      </c>
      <c r="CT187" s="66"/>
      <c r="CV187" s="59">
        <v>9</v>
      </c>
      <c r="CW187" s="64" t="s">
        <v>40</v>
      </c>
      <c r="CX187" s="32"/>
      <c r="CY187" s="14">
        <v>24.3</v>
      </c>
      <c r="CZ187" s="14">
        <v>20.8</v>
      </c>
      <c r="DA187" s="14">
        <v>10.6</v>
      </c>
      <c r="DB187" s="76">
        <f t="shared" si="145"/>
        <v>2785.9852800000003</v>
      </c>
      <c r="DC187" s="66" t="s">
        <v>85</v>
      </c>
      <c r="DE187" s="59">
        <v>9</v>
      </c>
      <c r="DF187" s="64" t="s">
        <v>40</v>
      </c>
      <c r="DG187" s="32"/>
      <c r="DH187" s="76"/>
      <c r="DI187" s="76"/>
      <c r="DJ187" s="76"/>
      <c r="DK187" s="76"/>
      <c r="DL187" s="66" t="s">
        <v>85</v>
      </c>
      <c r="DN187" s="59">
        <v>9</v>
      </c>
      <c r="DO187" s="64" t="s">
        <v>40</v>
      </c>
      <c r="DP187" s="32"/>
      <c r="DQ187" s="76"/>
      <c r="DR187" s="76"/>
      <c r="DS187" s="76"/>
      <c r="DT187" s="76"/>
      <c r="DU187" s="66" t="s">
        <v>85</v>
      </c>
      <c r="DX187" s="88"/>
    </row>
    <row r="188" spans="1:128" x14ac:dyDescent="0.25">
      <c r="A188" s="20" t="s">
        <v>9</v>
      </c>
      <c r="B188" s="20"/>
      <c r="C188" s="21"/>
      <c r="D188" s="22"/>
      <c r="E188" s="22"/>
      <c r="F188" s="22"/>
      <c r="G188" s="21">
        <f>AVERAGE(G179:G187)</f>
        <v>24.671111111111109</v>
      </c>
      <c r="H188" s="21"/>
      <c r="J188" s="20" t="s">
        <v>9</v>
      </c>
      <c r="K188" s="20"/>
      <c r="L188" s="21"/>
      <c r="M188" s="22"/>
      <c r="N188" s="22"/>
      <c r="O188" s="22"/>
      <c r="P188" s="21">
        <f>AVERAGE(P179:P187)</f>
        <v>62.010577777777776</v>
      </c>
      <c r="Q188" s="21"/>
      <c r="S188" s="20" t="s">
        <v>9</v>
      </c>
      <c r="T188" s="20"/>
      <c r="U188" s="21"/>
      <c r="V188" s="22"/>
      <c r="W188" s="22"/>
      <c r="X188" s="22"/>
      <c r="Y188" s="21">
        <f>AVERAGE(Y179:Y187)</f>
        <v>84.182164444444439</v>
      </c>
      <c r="Z188" s="21"/>
      <c r="AB188" s="20" t="s">
        <v>9</v>
      </c>
      <c r="AC188" s="20"/>
      <c r="AD188" s="21"/>
      <c r="AE188" s="22"/>
      <c r="AF188" s="22"/>
      <c r="AG188" s="22"/>
      <c r="AH188" s="21">
        <f>AVERAGE(AH179:AH187)</f>
        <v>117</v>
      </c>
      <c r="AI188" s="21"/>
      <c r="AK188" s="20" t="s">
        <v>9</v>
      </c>
      <c r="AL188" s="20"/>
      <c r="AM188" s="21"/>
      <c r="AN188" s="22"/>
      <c r="AO188" s="22"/>
      <c r="AP188" s="22"/>
      <c r="AQ188" s="21">
        <f>AVERAGE(AQ179:AQ187)</f>
        <v>176.89024888888892</v>
      </c>
      <c r="AR188" s="21"/>
      <c r="AT188" s="20" t="s">
        <v>9</v>
      </c>
      <c r="AU188" s="20"/>
      <c r="AV188" s="21"/>
      <c r="AW188" s="22"/>
      <c r="AX188" s="22"/>
      <c r="AY188" s="22"/>
      <c r="AZ188" s="21">
        <f>AVERAGE(AZ179:AZ187)</f>
        <v>144.78244444444445</v>
      </c>
      <c r="BA188" s="21"/>
      <c r="BC188" s="20" t="s">
        <v>9</v>
      </c>
      <c r="BD188" s="20"/>
      <c r="BE188" s="21"/>
      <c r="BF188" s="22"/>
      <c r="BG188" s="22"/>
      <c r="BH188" s="22"/>
      <c r="BI188" s="21">
        <f>AVERAGE(BI179:BI187)</f>
        <v>326.69346666666667</v>
      </c>
      <c r="BJ188" s="21"/>
      <c r="BL188" s="20" t="s">
        <v>9</v>
      </c>
      <c r="BM188" s="20"/>
      <c r="BN188" s="21"/>
      <c r="BO188" s="22"/>
      <c r="BP188" s="22"/>
      <c r="BQ188" s="22"/>
      <c r="BR188" s="21">
        <f>AVERAGE(BR179:BR187)</f>
        <v>587.51911111111121</v>
      </c>
      <c r="BS188" s="21"/>
      <c r="BU188" s="20" t="s">
        <v>9</v>
      </c>
      <c r="BV188" s="20"/>
      <c r="BW188" s="21"/>
      <c r="BX188" s="22"/>
      <c r="BY188" s="22"/>
      <c r="BZ188" s="22"/>
      <c r="CA188" s="21">
        <f>AVERAGE(CA179:CA187)</f>
        <v>1162.2612444444446</v>
      </c>
      <c r="CB188" s="21"/>
      <c r="CD188" s="20" t="s">
        <v>9</v>
      </c>
      <c r="CE188" s="20"/>
      <c r="CF188" s="21"/>
      <c r="CG188" s="22"/>
      <c r="CH188" s="22"/>
      <c r="CI188" s="22"/>
      <c r="CJ188" s="21">
        <f>AVERAGE(CJ179:CJ187)</f>
        <v>958.97186666666641</v>
      </c>
      <c r="CK188" s="21"/>
      <c r="CM188" s="20" t="s">
        <v>9</v>
      </c>
      <c r="CN188" s="20"/>
      <c r="CO188" s="21"/>
      <c r="CP188" s="22"/>
      <c r="CQ188" s="22"/>
      <c r="CR188" s="22"/>
      <c r="CS188" s="21">
        <f>AVERAGE(CS179:CS187)</f>
        <v>1212.3223840000003</v>
      </c>
      <c r="CT188" s="21"/>
      <c r="CV188" s="20" t="s">
        <v>9</v>
      </c>
      <c r="CW188" s="20"/>
      <c r="CX188" s="21"/>
      <c r="CY188" s="22"/>
      <c r="CZ188" s="22"/>
      <c r="DA188" s="22"/>
      <c r="DB188" s="21">
        <f>AVERAGE(DB179:DB187)</f>
        <v>2322.3172700000005</v>
      </c>
      <c r="DC188" s="21"/>
      <c r="DE188" s="20" t="s">
        <v>9</v>
      </c>
      <c r="DF188" s="20"/>
      <c r="DG188" s="21"/>
      <c r="DH188" s="22"/>
      <c r="DI188" s="22"/>
      <c r="DJ188" s="22"/>
      <c r="DK188" s="21">
        <f>AVERAGE(DK179:DK187)</f>
        <v>1440.5039999999999</v>
      </c>
      <c r="DL188" s="21"/>
      <c r="DN188" s="20" t="s">
        <v>9</v>
      </c>
      <c r="DO188" s="20"/>
      <c r="DP188" s="21"/>
      <c r="DQ188" s="22"/>
      <c r="DR188" s="22"/>
      <c r="DS188" s="22"/>
      <c r="DT188" s="21">
        <f>AVERAGE(DT179:DT187)</f>
        <v>0</v>
      </c>
      <c r="DU188" s="21"/>
    </row>
    <row r="189" spans="1:128" x14ac:dyDescent="0.25">
      <c r="A189" s="20" t="s">
        <v>10</v>
      </c>
      <c r="B189" s="20"/>
      <c r="C189" s="23"/>
      <c r="D189" s="22"/>
      <c r="E189" s="22"/>
      <c r="F189" s="22"/>
      <c r="G189" s="21">
        <f>AVEDEV(G179:G187)</f>
        <v>12.505679012345677</v>
      </c>
      <c r="H189" s="21"/>
      <c r="J189" s="20" t="s">
        <v>10</v>
      </c>
      <c r="K189" s="20"/>
      <c r="L189" s="23"/>
      <c r="M189" s="22"/>
      <c r="N189" s="22"/>
      <c r="O189" s="22"/>
      <c r="P189" s="21">
        <f>AVEDEV(P179:P187)</f>
        <v>23.671170370370369</v>
      </c>
      <c r="Q189" s="21"/>
      <c r="S189" s="20" t="s">
        <v>10</v>
      </c>
      <c r="T189" s="20"/>
      <c r="U189" s="23"/>
      <c r="V189" s="22"/>
      <c r="W189" s="22"/>
      <c r="X189" s="22"/>
      <c r="Y189" s="21">
        <f>AVEDEV(Y179:Y187)</f>
        <v>53.349997037037035</v>
      </c>
      <c r="Z189" s="21"/>
      <c r="AB189" s="20" t="s">
        <v>10</v>
      </c>
      <c r="AC189" s="20"/>
      <c r="AD189" s="23"/>
      <c r="AE189" s="22"/>
      <c r="AF189" s="22"/>
      <c r="AG189" s="22"/>
      <c r="AH189" s="21">
        <f>AVEDEV(AH179:AH187)</f>
        <v>65.288888888888877</v>
      </c>
      <c r="AI189" s="21"/>
      <c r="AK189" s="20" t="s">
        <v>10</v>
      </c>
      <c r="AL189" s="20"/>
      <c r="AM189" s="23"/>
      <c r="AN189" s="22"/>
      <c r="AO189" s="22"/>
      <c r="AP189" s="22"/>
      <c r="AQ189" s="21">
        <f>AVEDEV(AQ179:AQ187)</f>
        <v>142.46472098765432</v>
      </c>
      <c r="AR189" s="21"/>
      <c r="AT189" s="20" t="s">
        <v>10</v>
      </c>
      <c r="AU189" s="20"/>
      <c r="AV189" s="23"/>
      <c r="AW189" s="22"/>
      <c r="AX189" s="22"/>
      <c r="AY189" s="22"/>
      <c r="AZ189" s="21">
        <f>AVEDEV(AZ179:AZ187)</f>
        <v>90.822814814814819</v>
      </c>
      <c r="BA189" s="21"/>
      <c r="BC189" s="20" t="s">
        <v>10</v>
      </c>
      <c r="BD189" s="20"/>
      <c r="BE189" s="23"/>
      <c r="BF189" s="22"/>
      <c r="BG189" s="22"/>
      <c r="BH189" s="22"/>
      <c r="BI189" s="21">
        <f>AVEDEV(BI179:BI187)</f>
        <v>235.00340740740739</v>
      </c>
      <c r="BJ189" s="21"/>
      <c r="BL189" s="20" t="s">
        <v>10</v>
      </c>
      <c r="BM189" s="20"/>
      <c r="BN189" s="23"/>
      <c r="BO189" s="22"/>
      <c r="BP189" s="22"/>
      <c r="BQ189" s="22"/>
      <c r="BR189" s="21">
        <f>AVEDEV(BR179:BR187)</f>
        <v>448.72790123456798</v>
      </c>
      <c r="BS189" s="21"/>
      <c r="BU189" s="20" t="s">
        <v>10</v>
      </c>
      <c r="BV189" s="20"/>
      <c r="BW189" s="23"/>
      <c r="BX189" s="22"/>
      <c r="BY189" s="22"/>
      <c r="BZ189" s="22"/>
      <c r="CA189" s="21">
        <f>AVEDEV(CA179:CA187)</f>
        <v>1007.6708938271606</v>
      </c>
      <c r="CB189" s="21"/>
      <c r="CD189" s="20" t="s">
        <v>10</v>
      </c>
      <c r="CE189" s="20"/>
      <c r="CF189" s="23"/>
      <c r="CG189" s="22"/>
      <c r="CH189" s="22"/>
      <c r="CI189" s="22"/>
      <c r="CJ189" s="21">
        <f>AVEDEV(CJ179:CJ187)</f>
        <v>609.11586666666665</v>
      </c>
      <c r="CK189" s="21"/>
      <c r="CM189" s="20" t="s">
        <v>10</v>
      </c>
      <c r="CN189" s="20"/>
      <c r="CO189" s="23"/>
      <c r="CP189" s="22"/>
      <c r="CQ189" s="22"/>
      <c r="CR189" s="22"/>
      <c r="CS189" s="21">
        <f>AVEDEV(CS179:CS187)</f>
        <v>759.3792128</v>
      </c>
      <c r="CT189" s="21"/>
      <c r="CV189" s="20" t="s">
        <v>10</v>
      </c>
      <c r="CW189" s="20"/>
      <c r="CX189" s="23"/>
      <c r="CY189" s="22"/>
      <c r="CZ189" s="22"/>
      <c r="DA189" s="22"/>
      <c r="DB189" s="21">
        <f>AVEDEV(DB179:DB187)</f>
        <v>1414.9107700000004</v>
      </c>
      <c r="DC189" s="21"/>
      <c r="DE189" s="20" t="s">
        <v>10</v>
      </c>
      <c r="DF189" s="20"/>
      <c r="DG189" s="23"/>
      <c r="DH189" s="22"/>
      <c r="DI189" s="22"/>
      <c r="DJ189" s="22"/>
      <c r="DK189" s="21">
        <f>AVEDEV(DK179:DK187)</f>
        <v>1440.5039999999999</v>
      </c>
      <c r="DL189" s="21"/>
      <c r="DN189" s="20" t="s">
        <v>10</v>
      </c>
      <c r="DO189" s="20"/>
      <c r="DP189" s="23"/>
      <c r="DQ189" s="22"/>
      <c r="DR189" s="22"/>
      <c r="DS189" s="22"/>
      <c r="DT189" s="21">
        <f>AVEDEV(DT179:DT187)</f>
        <v>0</v>
      </c>
      <c r="DU189" s="21"/>
    </row>
    <row r="192" spans="1:128" x14ac:dyDescent="0.25">
      <c r="A192" s="4" t="s">
        <v>36</v>
      </c>
      <c r="B192" s="4"/>
      <c r="G192" s="5" t="s">
        <v>48</v>
      </c>
      <c r="J192" s="4" t="s">
        <v>36</v>
      </c>
      <c r="K192" s="4"/>
      <c r="P192" s="5" t="s">
        <v>47</v>
      </c>
      <c r="S192" s="4" t="s">
        <v>36</v>
      </c>
      <c r="T192" s="4"/>
      <c r="Y192" s="5" t="s">
        <v>56</v>
      </c>
      <c r="AB192" s="4" t="s">
        <v>36</v>
      </c>
      <c r="AC192" s="4"/>
      <c r="AH192" s="5" t="s">
        <v>59</v>
      </c>
      <c r="AK192" s="4" t="s">
        <v>36</v>
      </c>
      <c r="AL192" s="4"/>
      <c r="AQ192" s="5"/>
      <c r="AT192" s="4" t="s">
        <v>36</v>
      </c>
      <c r="AU192" s="4"/>
      <c r="AZ192" s="5"/>
      <c r="BC192" s="4" t="s">
        <v>36</v>
      </c>
      <c r="BD192" s="4"/>
      <c r="BL192" s="4" t="s">
        <v>36</v>
      </c>
      <c r="BM192" s="4"/>
      <c r="BR192" s="5"/>
      <c r="BU192" s="4" t="s">
        <v>36</v>
      </c>
      <c r="BV192" s="4"/>
      <c r="CA192" s="5"/>
      <c r="CD192" s="4" t="s">
        <v>36</v>
      </c>
      <c r="CE192" s="4"/>
      <c r="CJ192" s="5"/>
      <c r="CM192" s="4" t="s">
        <v>36</v>
      </c>
      <c r="CN192" s="4"/>
      <c r="CS192" s="5"/>
      <c r="CV192" s="4" t="s">
        <v>36</v>
      </c>
      <c r="CW192" s="4"/>
      <c r="DB192" s="5"/>
      <c r="DE192" s="4" t="s">
        <v>36</v>
      </c>
      <c r="DF192" s="4"/>
      <c r="DK192" s="5"/>
      <c r="DN192" s="4" t="s">
        <v>36</v>
      </c>
      <c r="DO192" s="4"/>
      <c r="DT192" s="5"/>
    </row>
    <row r="193" spans="1:128" x14ac:dyDescent="0.25">
      <c r="A193" s="6"/>
      <c r="B193" s="6"/>
      <c r="G193" s="7" t="s">
        <v>23</v>
      </c>
      <c r="J193" s="6"/>
      <c r="K193" s="6"/>
      <c r="P193" s="7" t="s">
        <v>43</v>
      </c>
      <c r="S193" s="6"/>
      <c r="T193" s="6"/>
      <c r="Y193" s="7" t="s">
        <v>50</v>
      </c>
      <c r="AB193" s="6"/>
      <c r="AC193" s="6"/>
      <c r="AH193" s="7" t="s">
        <v>58</v>
      </c>
      <c r="AK193" s="6"/>
      <c r="AL193" s="6"/>
      <c r="AQ193" s="7" t="s">
        <v>63</v>
      </c>
      <c r="AT193" s="6"/>
      <c r="AU193" s="6"/>
      <c r="AZ193" s="7" t="s">
        <v>66</v>
      </c>
      <c r="BC193" s="6"/>
      <c r="BD193" s="6"/>
      <c r="BI193" s="7" t="s">
        <v>69</v>
      </c>
      <c r="BL193" s="6"/>
      <c r="BM193" s="6"/>
      <c r="BR193" s="7" t="s">
        <v>71</v>
      </c>
      <c r="BU193" s="6"/>
      <c r="BV193" s="6"/>
      <c r="CA193" s="7" t="s">
        <v>75</v>
      </c>
      <c r="CD193" s="6"/>
      <c r="CE193" s="6"/>
      <c r="CJ193" s="7" t="s">
        <v>77</v>
      </c>
      <c r="CM193" s="6"/>
      <c r="CN193" s="6"/>
      <c r="CS193" s="7" t="s">
        <v>81</v>
      </c>
      <c r="CV193" s="6"/>
      <c r="CW193" s="6"/>
      <c r="DB193" s="7" t="s">
        <v>84</v>
      </c>
      <c r="DE193" s="6"/>
      <c r="DF193" s="6"/>
      <c r="DK193" s="7" t="s">
        <v>86</v>
      </c>
      <c r="DN193" s="6"/>
      <c r="DO193" s="6"/>
      <c r="DT193" s="7" t="s">
        <v>88</v>
      </c>
    </row>
    <row r="194" spans="1:128" x14ac:dyDescent="0.25">
      <c r="A194" s="4" t="s">
        <v>37</v>
      </c>
      <c r="B194" s="4"/>
      <c r="J194" s="4" t="s">
        <v>37</v>
      </c>
      <c r="K194" s="4"/>
      <c r="S194" s="4" t="s">
        <v>37</v>
      </c>
      <c r="T194" s="4"/>
      <c r="AB194" s="4" t="s">
        <v>37</v>
      </c>
      <c r="AC194" s="4"/>
      <c r="AK194" s="4" t="s">
        <v>37</v>
      </c>
      <c r="AL194" s="4"/>
      <c r="AT194" s="4" t="s">
        <v>37</v>
      </c>
      <c r="AU194" s="4"/>
      <c r="BC194" s="4" t="s">
        <v>37</v>
      </c>
      <c r="BD194" s="4"/>
      <c r="BL194" s="4" t="s">
        <v>37</v>
      </c>
      <c r="BM194" s="4"/>
      <c r="BU194" s="4" t="s">
        <v>37</v>
      </c>
      <c r="BV194" s="4"/>
      <c r="CD194" s="4" t="s">
        <v>37</v>
      </c>
      <c r="CE194" s="4"/>
      <c r="CM194" s="4" t="s">
        <v>37</v>
      </c>
      <c r="CN194" s="4"/>
      <c r="CV194" s="4" t="s">
        <v>37</v>
      </c>
      <c r="CW194" s="4"/>
      <c r="DE194" s="4" t="s">
        <v>37</v>
      </c>
      <c r="DF194" s="4"/>
      <c r="DN194" s="4" t="s">
        <v>37</v>
      </c>
      <c r="DO194" s="4"/>
    </row>
    <row r="195" spans="1:128" x14ac:dyDescent="0.25">
      <c r="A195" s="6"/>
      <c r="B195" s="6"/>
      <c r="C195" s="9">
        <v>45810</v>
      </c>
      <c r="J195" s="6"/>
      <c r="K195" s="6"/>
      <c r="L195" s="9">
        <v>45813</v>
      </c>
      <c r="S195" s="6"/>
      <c r="T195" s="6"/>
      <c r="U195" s="9">
        <v>45816</v>
      </c>
      <c r="AB195" s="6"/>
      <c r="AC195" s="6"/>
      <c r="AD195" s="9">
        <v>45819</v>
      </c>
      <c r="AE195" s="9"/>
      <c r="AF195" s="9"/>
      <c r="AG195" s="9"/>
      <c r="AK195" s="6"/>
      <c r="AL195" s="6"/>
      <c r="AM195" s="9">
        <v>45822</v>
      </c>
      <c r="AT195" s="6"/>
      <c r="AU195" s="6"/>
      <c r="AV195" s="9">
        <v>45825</v>
      </c>
      <c r="BC195" s="6"/>
      <c r="BD195" s="6"/>
      <c r="BE195" s="9">
        <v>45828</v>
      </c>
      <c r="BF195" s="9"/>
      <c r="BG195" s="9"/>
      <c r="BH195" s="9"/>
      <c r="BL195" s="6"/>
      <c r="BM195" s="6"/>
      <c r="BN195" s="9">
        <v>45832</v>
      </c>
      <c r="BO195" s="9"/>
      <c r="BP195" s="9"/>
      <c r="BQ195" s="9"/>
      <c r="BU195" s="6"/>
      <c r="BV195" s="6"/>
      <c r="BW195" s="9">
        <v>45836</v>
      </c>
      <c r="CD195" s="6"/>
      <c r="CE195" s="6"/>
      <c r="CF195" s="9">
        <v>45839</v>
      </c>
      <c r="CM195" s="6"/>
      <c r="CN195" s="6"/>
      <c r="CO195" s="9">
        <v>45844</v>
      </c>
      <c r="CV195" s="6"/>
      <c r="CW195" s="6"/>
      <c r="CX195" s="9">
        <v>45849</v>
      </c>
      <c r="DE195" s="6"/>
      <c r="DF195" s="6"/>
      <c r="DG195" s="9">
        <v>45855</v>
      </c>
      <c r="DN195" s="6"/>
      <c r="DO195" s="6"/>
      <c r="DP195" s="9">
        <v>45859</v>
      </c>
    </row>
    <row r="196" spans="1:128" x14ac:dyDescent="0.25">
      <c r="A196" s="10"/>
      <c r="B196" s="10"/>
      <c r="C196" s="11"/>
      <c r="D196" s="11" t="s">
        <v>3</v>
      </c>
      <c r="E196" s="11" t="s">
        <v>4</v>
      </c>
      <c r="F196" s="11" t="s">
        <v>5</v>
      </c>
      <c r="G196" s="12" t="s">
        <v>6</v>
      </c>
      <c r="H196" s="13" t="s">
        <v>7</v>
      </c>
      <c r="J196" s="10"/>
      <c r="K196" s="10"/>
      <c r="L196" s="11"/>
      <c r="M196" s="11" t="s">
        <v>3</v>
      </c>
      <c r="N196" s="11" t="s">
        <v>4</v>
      </c>
      <c r="O196" s="11" t="s">
        <v>5</v>
      </c>
      <c r="P196" s="12" t="s">
        <v>6</v>
      </c>
      <c r="Q196" s="13" t="s">
        <v>7</v>
      </c>
      <c r="S196" s="10"/>
      <c r="T196" s="10"/>
      <c r="U196" s="11"/>
      <c r="V196" s="11" t="s">
        <v>3</v>
      </c>
      <c r="W196" s="11" t="s">
        <v>4</v>
      </c>
      <c r="X196" s="11" t="s">
        <v>5</v>
      </c>
      <c r="Y196" s="12" t="s">
        <v>6</v>
      </c>
      <c r="Z196" s="13" t="s">
        <v>7</v>
      </c>
      <c r="AB196" s="10"/>
      <c r="AC196" s="10"/>
      <c r="AD196" s="11"/>
      <c r="AE196" s="11" t="s">
        <v>3</v>
      </c>
      <c r="AF196" s="11" t="s">
        <v>4</v>
      </c>
      <c r="AG196" s="11" t="s">
        <v>5</v>
      </c>
      <c r="AH196" s="12" t="s">
        <v>6</v>
      </c>
      <c r="AI196" s="13" t="s">
        <v>7</v>
      </c>
      <c r="AK196" s="10"/>
      <c r="AL196" s="10"/>
      <c r="AM196" s="11"/>
      <c r="AN196" s="11" t="s">
        <v>3</v>
      </c>
      <c r="AO196" s="11" t="s">
        <v>4</v>
      </c>
      <c r="AP196" s="11" t="s">
        <v>5</v>
      </c>
      <c r="AQ196" s="12" t="s">
        <v>6</v>
      </c>
      <c r="AR196" s="13" t="s">
        <v>7</v>
      </c>
      <c r="AT196" s="10"/>
      <c r="AU196" s="10"/>
      <c r="AV196" s="11"/>
      <c r="AW196" s="11" t="s">
        <v>3</v>
      </c>
      <c r="AX196" s="11" t="s">
        <v>4</v>
      </c>
      <c r="AY196" s="11" t="s">
        <v>5</v>
      </c>
      <c r="AZ196" s="12" t="s">
        <v>6</v>
      </c>
      <c r="BA196" s="13" t="s">
        <v>7</v>
      </c>
      <c r="BC196" s="10"/>
      <c r="BD196" s="10"/>
      <c r="BE196" s="11"/>
      <c r="BF196" s="11" t="s">
        <v>3</v>
      </c>
      <c r="BG196" s="11" t="s">
        <v>4</v>
      </c>
      <c r="BH196" s="11" t="s">
        <v>5</v>
      </c>
      <c r="BI196" s="12" t="s">
        <v>6</v>
      </c>
      <c r="BJ196" s="13" t="s">
        <v>7</v>
      </c>
      <c r="BL196" s="10"/>
      <c r="BM196" s="10"/>
      <c r="BN196" s="11"/>
      <c r="BO196" s="11" t="s">
        <v>3</v>
      </c>
      <c r="BP196" s="11" t="s">
        <v>4</v>
      </c>
      <c r="BQ196" s="11" t="s">
        <v>5</v>
      </c>
      <c r="BR196" s="12" t="s">
        <v>6</v>
      </c>
      <c r="BS196" s="13"/>
      <c r="BU196" s="10"/>
      <c r="BV196" s="10"/>
      <c r="BW196" s="11"/>
      <c r="BX196" s="11" t="s">
        <v>3</v>
      </c>
      <c r="BY196" s="11" t="s">
        <v>4</v>
      </c>
      <c r="BZ196" s="11" t="s">
        <v>5</v>
      </c>
      <c r="CA196" s="12" t="s">
        <v>6</v>
      </c>
      <c r="CB196" s="13"/>
      <c r="CD196" s="10"/>
      <c r="CE196" s="10"/>
      <c r="CF196" s="11"/>
      <c r="CG196" s="11" t="s">
        <v>3</v>
      </c>
      <c r="CH196" s="11" t="s">
        <v>4</v>
      </c>
      <c r="CI196" s="11" t="s">
        <v>5</v>
      </c>
      <c r="CJ196" s="12" t="s">
        <v>6</v>
      </c>
      <c r="CK196" s="13"/>
      <c r="CM196" s="10"/>
      <c r="CN196" s="10"/>
      <c r="CO196" s="11"/>
      <c r="CP196" s="11" t="s">
        <v>3</v>
      </c>
      <c r="CQ196" s="11" t="s">
        <v>4</v>
      </c>
      <c r="CR196" s="11" t="s">
        <v>5</v>
      </c>
      <c r="CS196" s="12" t="s">
        <v>6</v>
      </c>
      <c r="CT196" s="13"/>
      <c r="CV196" s="10"/>
      <c r="CW196" s="10"/>
      <c r="CX196" s="11"/>
      <c r="CY196" s="11" t="s">
        <v>3</v>
      </c>
      <c r="CZ196" s="11" t="s">
        <v>4</v>
      </c>
      <c r="DA196" s="11" t="s">
        <v>5</v>
      </c>
      <c r="DB196" s="12" t="s">
        <v>6</v>
      </c>
      <c r="DC196" s="13"/>
      <c r="DE196" s="10"/>
      <c r="DF196" s="10"/>
      <c r="DG196" s="11"/>
      <c r="DH196" s="11" t="s">
        <v>3</v>
      </c>
      <c r="DI196" s="11" t="s">
        <v>4</v>
      </c>
      <c r="DJ196" s="11" t="s">
        <v>5</v>
      </c>
      <c r="DK196" s="12" t="s">
        <v>6</v>
      </c>
      <c r="DL196" s="13"/>
      <c r="DN196" s="10"/>
      <c r="DO196" s="10"/>
      <c r="DP196" s="11"/>
      <c r="DQ196" s="11" t="s">
        <v>3</v>
      </c>
      <c r="DR196" s="11" t="s">
        <v>4</v>
      </c>
      <c r="DS196" s="11" t="s">
        <v>5</v>
      </c>
      <c r="DT196" s="12" t="s">
        <v>6</v>
      </c>
      <c r="DU196" s="13"/>
    </row>
    <row r="197" spans="1:128" x14ac:dyDescent="0.25">
      <c r="A197" s="10">
        <v>1</v>
      </c>
      <c r="B197" s="10">
        <v>1</v>
      </c>
      <c r="C197" s="42"/>
      <c r="D197" s="15">
        <v>6</v>
      </c>
      <c r="E197" s="15">
        <v>4</v>
      </c>
      <c r="F197" s="15">
        <v>3</v>
      </c>
      <c r="G197" s="16">
        <f>D197*E197*F197*0.52</f>
        <v>37.44</v>
      </c>
      <c r="H197" s="69"/>
      <c r="J197" s="10">
        <v>1</v>
      </c>
      <c r="K197" s="10">
        <v>1</v>
      </c>
      <c r="L197" s="42"/>
      <c r="M197" s="15">
        <v>5.9</v>
      </c>
      <c r="N197" s="15">
        <v>4.7</v>
      </c>
      <c r="O197" s="15">
        <v>2.7</v>
      </c>
      <c r="P197" s="16">
        <f>M197*N197*O197*0.52</f>
        <v>38.932920000000003</v>
      </c>
      <c r="Q197" s="69"/>
      <c r="S197" s="10">
        <v>1</v>
      </c>
      <c r="T197" s="10">
        <v>1</v>
      </c>
      <c r="U197" s="42"/>
      <c r="V197" s="15">
        <v>7</v>
      </c>
      <c r="W197" s="15">
        <v>4</v>
      </c>
      <c r="X197" s="15">
        <v>3.3</v>
      </c>
      <c r="Y197" s="16">
        <f>V197*W197*X197*0.52</f>
        <v>48.047999999999995</v>
      </c>
      <c r="Z197" s="69"/>
      <c r="AB197" s="10">
        <v>1</v>
      </c>
      <c r="AC197" s="10">
        <v>1</v>
      </c>
      <c r="AD197" s="42"/>
      <c r="AE197" s="15">
        <v>8</v>
      </c>
      <c r="AF197" s="15">
        <v>5</v>
      </c>
      <c r="AG197" s="15">
        <v>4</v>
      </c>
      <c r="AH197" s="16">
        <f>AE197*AF197*AG197*0.52</f>
        <v>83.2</v>
      </c>
      <c r="AI197" s="69"/>
      <c r="AK197" s="10">
        <v>1</v>
      </c>
      <c r="AL197" s="10">
        <v>1</v>
      </c>
      <c r="AM197" s="42"/>
      <c r="AN197" s="15">
        <v>6</v>
      </c>
      <c r="AO197" s="15">
        <v>7</v>
      </c>
      <c r="AP197" s="15">
        <v>4</v>
      </c>
      <c r="AQ197" s="16">
        <f>AN197*AO197*AP197*0.52</f>
        <v>87.36</v>
      </c>
      <c r="AR197" s="69"/>
      <c r="AT197" s="10">
        <v>1</v>
      </c>
      <c r="AU197" s="10">
        <v>1</v>
      </c>
      <c r="AV197" s="42"/>
      <c r="AW197" s="15">
        <v>8</v>
      </c>
      <c r="AX197" s="15">
        <v>8</v>
      </c>
      <c r="AY197" s="15">
        <v>6</v>
      </c>
      <c r="AZ197" s="16">
        <f>AW197*AX197*AY197*0.52</f>
        <v>199.68</v>
      </c>
      <c r="BA197" s="69"/>
      <c r="BC197" s="10">
        <v>1</v>
      </c>
      <c r="BD197" s="10">
        <v>1</v>
      </c>
      <c r="BE197" s="42"/>
      <c r="BF197" s="15">
        <v>7</v>
      </c>
      <c r="BG197" s="15">
        <v>8</v>
      </c>
      <c r="BH197" s="15">
        <v>5.2</v>
      </c>
      <c r="BI197" s="16">
        <f>BF197*BG197*BH197*0.52</f>
        <v>151.42400000000001</v>
      </c>
      <c r="BJ197" s="69"/>
      <c r="BL197" s="10">
        <v>1</v>
      </c>
      <c r="BM197" s="10">
        <v>1</v>
      </c>
      <c r="BN197" s="42"/>
      <c r="BO197" s="15">
        <v>5</v>
      </c>
      <c r="BP197" s="15">
        <v>5</v>
      </c>
      <c r="BQ197" s="15">
        <v>5</v>
      </c>
      <c r="BR197" s="16">
        <f>BO197*BP197*BQ197*0.52</f>
        <v>65</v>
      </c>
      <c r="BS197" s="69"/>
      <c r="BU197" s="10">
        <v>1</v>
      </c>
      <c r="BV197" s="10">
        <v>1</v>
      </c>
      <c r="BW197" s="42"/>
      <c r="BX197" s="15">
        <v>8</v>
      </c>
      <c r="BY197" s="15">
        <v>8</v>
      </c>
      <c r="BZ197" s="15">
        <v>5</v>
      </c>
      <c r="CA197" s="16">
        <f>BX197*BY197*BZ197*0.52</f>
        <v>166.4</v>
      </c>
      <c r="CB197" s="69"/>
      <c r="CD197" s="10">
        <v>1</v>
      </c>
      <c r="CE197" s="10">
        <v>1</v>
      </c>
      <c r="CF197" s="42"/>
      <c r="CG197" s="15">
        <v>10</v>
      </c>
      <c r="CH197" s="15">
        <v>10</v>
      </c>
      <c r="CI197" s="15">
        <v>5</v>
      </c>
      <c r="CJ197" s="16">
        <f>CG197*CH197*CI197*0.52</f>
        <v>260</v>
      </c>
      <c r="CK197" s="69"/>
      <c r="CM197" s="10">
        <v>1</v>
      </c>
      <c r="CN197" s="10">
        <v>1</v>
      </c>
      <c r="CO197" s="42"/>
      <c r="CP197" s="15">
        <v>10</v>
      </c>
      <c r="CQ197" s="15">
        <v>10</v>
      </c>
      <c r="CR197" s="15">
        <v>6</v>
      </c>
      <c r="CS197" s="16">
        <f>CP197*CQ197*CR197*0.52</f>
        <v>312</v>
      </c>
      <c r="CT197" s="69"/>
      <c r="CV197" s="10">
        <v>1</v>
      </c>
      <c r="CW197" s="10">
        <v>1</v>
      </c>
      <c r="CX197" s="42"/>
      <c r="CY197" s="15">
        <v>12.6</v>
      </c>
      <c r="CZ197" s="15">
        <v>10.8</v>
      </c>
      <c r="DA197" s="15">
        <v>8.3000000000000007</v>
      </c>
      <c r="DB197" s="16">
        <f>CY197*CZ197*DA197*0.52</f>
        <v>587.32128000000012</v>
      </c>
      <c r="DC197" s="69"/>
      <c r="DE197" s="10">
        <v>1</v>
      </c>
      <c r="DF197" s="10">
        <v>1</v>
      </c>
      <c r="DG197" s="42"/>
      <c r="DH197" s="15">
        <v>18.7</v>
      </c>
      <c r="DI197" s="15">
        <v>13.7</v>
      </c>
      <c r="DJ197" s="15">
        <v>10.199999999999999</v>
      </c>
      <c r="DK197" s="16">
        <f>DH197*DI197*DJ197*0.52</f>
        <v>1358.83176</v>
      </c>
      <c r="DL197" s="69"/>
      <c r="DN197" s="10">
        <v>1</v>
      </c>
      <c r="DO197" s="10">
        <v>1</v>
      </c>
      <c r="DP197" s="42"/>
      <c r="DQ197" s="15">
        <v>24.1</v>
      </c>
      <c r="DR197" s="15">
        <v>17</v>
      </c>
      <c r="DS197" s="15">
        <v>15.1</v>
      </c>
      <c r="DT197" s="76">
        <f>DQ197*DR197*DS197*0.52</f>
        <v>3216.9644000000003</v>
      </c>
      <c r="DU197" s="69" t="s">
        <v>89</v>
      </c>
      <c r="DX197">
        <v>33</v>
      </c>
    </row>
    <row r="198" spans="1:128" x14ac:dyDescent="0.25">
      <c r="A198" s="10">
        <v>2</v>
      </c>
      <c r="B198" s="10">
        <v>2</v>
      </c>
      <c r="C198" s="42"/>
      <c r="D198" s="15">
        <v>6</v>
      </c>
      <c r="E198" s="15">
        <v>4</v>
      </c>
      <c r="F198" s="15">
        <v>3</v>
      </c>
      <c r="G198" s="16">
        <f t="shared" ref="G198:G205" si="147">D198*E198*F198*0.52</f>
        <v>37.44</v>
      </c>
      <c r="H198" s="69"/>
      <c r="J198" s="10">
        <v>2</v>
      </c>
      <c r="K198" s="10">
        <v>2</v>
      </c>
      <c r="L198" s="42"/>
      <c r="M198" s="15">
        <v>5</v>
      </c>
      <c r="N198" s="15">
        <v>5</v>
      </c>
      <c r="O198" s="15">
        <v>3</v>
      </c>
      <c r="P198" s="16">
        <f t="shared" ref="P198:P205" si="148">M198*N198*O198*0.52</f>
        <v>39</v>
      </c>
      <c r="Q198" s="69"/>
      <c r="S198" s="10">
        <v>2</v>
      </c>
      <c r="T198" s="10">
        <v>2</v>
      </c>
      <c r="U198" s="42"/>
      <c r="V198" s="15">
        <v>6</v>
      </c>
      <c r="W198" s="15">
        <v>6</v>
      </c>
      <c r="X198" s="15">
        <v>3.5</v>
      </c>
      <c r="Y198" s="16">
        <f t="shared" ref="Y198:Y205" si="149">V198*W198*X198*0.52</f>
        <v>65.52</v>
      </c>
      <c r="Z198" s="69"/>
      <c r="AB198" s="10">
        <v>2</v>
      </c>
      <c r="AC198" s="10">
        <v>2</v>
      </c>
      <c r="AD198" s="42"/>
      <c r="AE198" s="15">
        <v>9.1999999999999993</v>
      </c>
      <c r="AF198" s="15">
        <v>7</v>
      </c>
      <c r="AG198" s="15">
        <v>5.5</v>
      </c>
      <c r="AH198" s="16">
        <f t="shared" ref="AH198:AH205" si="150">AE198*AF198*AG198*0.52</f>
        <v>184.18399999999997</v>
      </c>
      <c r="AI198" s="69"/>
      <c r="AK198" s="10">
        <v>2</v>
      </c>
      <c r="AL198" s="10">
        <v>2</v>
      </c>
      <c r="AM198" s="42"/>
      <c r="AN198" s="15">
        <v>6</v>
      </c>
      <c r="AO198" s="15">
        <v>6</v>
      </c>
      <c r="AP198" s="15">
        <v>5</v>
      </c>
      <c r="AQ198" s="16">
        <f t="shared" ref="AQ198:AQ205" si="151">AN198*AO198*AP198*0.52</f>
        <v>93.600000000000009</v>
      </c>
      <c r="AR198" s="69"/>
      <c r="AT198" s="10">
        <v>2</v>
      </c>
      <c r="AU198" s="10">
        <v>2</v>
      </c>
      <c r="AV198" s="42"/>
      <c r="AW198" s="15">
        <v>9.5</v>
      </c>
      <c r="AX198" s="15">
        <v>9.9</v>
      </c>
      <c r="AY198" s="15">
        <v>6.5</v>
      </c>
      <c r="AZ198" s="16">
        <f t="shared" ref="AZ198:AZ205" si="152">AW198*AX198*AY198*0.52</f>
        <v>317.88899999999995</v>
      </c>
      <c r="BA198" s="69"/>
      <c r="BC198" s="10">
        <v>2</v>
      </c>
      <c r="BD198" s="10">
        <v>2</v>
      </c>
      <c r="BE198" s="42"/>
      <c r="BF198" s="15">
        <v>8</v>
      </c>
      <c r="BG198" s="15">
        <v>7</v>
      </c>
      <c r="BH198" s="15">
        <v>6.7</v>
      </c>
      <c r="BI198" s="16">
        <f t="shared" ref="BI198:BI205" si="153">BF198*BG198*BH198*0.52</f>
        <v>195.10400000000001</v>
      </c>
      <c r="BJ198" s="69"/>
      <c r="BL198" s="10">
        <v>2</v>
      </c>
      <c r="BM198" s="10">
        <v>2</v>
      </c>
      <c r="BN198" s="42"/>
      <c r="BO198" s="15">
        <v>15</v>
      </c>
      <c r="BP198" s="15">
        <v>15</v>
      </c>
      <c r="BQ198" s="15">
        <v>8.6</v>
      </c>
      <c r="BR198" s="16">
        <f t="shared" ref="BR198:BR205" si="154">BO198*BP198*BQ198*0.52</f>
        <v>1006.2</v>
      </c>
      <c r="BS198" s="69"/>
      <c r="BU198" s="10">
        <v>2</v>
      </c>
      <c r="BV198" s="10">
        <v>2</v>
      </c>
      <c r="BW198" s="42"/>
      <c r="BX198" s="15">
        <v>12.8</v>
      </c>
      <c r="BY198" s="15">
        <v>12.3</v>
      </c>
      <c r="BZ198" s="15">
        <v>6.7</v>
      </c>
      <c r="CA198" s="16">
        <f t="shared" ref="CA198:CA205" si="155">BX198*BY198*BZ198*0.52</f>
        <v>548.52096000000006</v>
      </c>
      <c r="CB198" s="69"/>
      <c r="CD198" s="10">
        <v>2</v>
      </c>
      <c r="CE198" s="10">
        <v>2</v>
      </c>
      <c r="CF198" s="42"/>
      <c r="CG198" s="15">
        <v>17</v>
      </c>
      <c r="CH198" s="15">
        <v>17</v>
      </c>
      <c r="CI198" s="15">
        <v>9.1999999999999993</v>
      </c>
      <c r="CJ198" s="16">
        <f t="shared" ref="CJ198:CJ205" si="156">CG198*CH198*CI198*0.52</f>
        <v>1382.5759999999998</v>
      </c>
      <c r="CK198" s="69"/>
      <c r="CM198" s="10">
        <v>2</v>
      </c>
      <c r="CN198" s="10">
        <v>2</v>
      </c>
      <c r="CO198" s="42"/>
      <c r="CP198" s="15">
        <v>23</v>
      </c>
      <c r="CQ198" s="15">
        <v>25</v>
      </c>
      <c r="CR198" s="15">
        <v>12</v>
      </c>
      <c r="CS198" s="82">
        <f t="shared" ref="CS198:CS199" si="157">CP198*CQ198*CR198*0.52</f>
        <v>3588</v>
      </c>
      <c r="CT198" s="69" t="s">
        <v>82</v>
      </c>
      <c r="CV198" s="10">
        <v>2</v>
      </c>
      <c r="CW198" s="10">
        <v>2</v>
      </c>
      <c r="CX198" s="42"/>
      <c r="CY198" s="83"/>
      <c r="CZ198" s="83"/>
      <c r="DA198" s="83"/>
      <c r="DB198" s="82"/>
      <c r="DC198" s="69" t="s">
        <v>82</v>
      </c>
      <c r="DE198" s="10">
        <v>2</v>
      </c>
      <c r="DF198" s="10">
        <v>2</v>
      </c>
      <c r="DG198" s="42"/>
      <c r="DH198" s="83"/>
      <c r="DI198" s="83"/>
      <c r="DJ198" s="83"/>
      <c r="DK198" s="82"/>
      <c r="DL198" s="69" t="s">
        <v>82</v>
      </c>
      <c r="DN198" s="10">
        <v>2</v>
      </c>
      <c r="DO198" s="10">
        <v>2</v>
      </c>
      <c r="DP198" s="42"/>
      <c r="DQ198" s="83"/>
      <c r="DR198" s="83"/>
      <c r="DS198" s="83"/>
      <c r="DT198" s="82"/>
      <c r="DU198" s="69" t="s">
        <v>82</v>
      </c>
      <c r="DX198">
        <v>36</v>
      </c>
    </row>
    <row r="199" spans="1:128" x14ac:dyDescent="0.25">
      <c r="A199" s="10">
        <v>3</v>
      </c>
      <c r="B199" s="10">
        <v>3</v>
      </c>
      <c r="C199" s="42"/>
      <c r="D199" s="15">
        <v>5</v>
      </c>
      <c r="E199" s="15">
        <v>3</v>
      </c>
      <c r="F199" s="15">
        <v>3</v>
      </c>
      <c r="G199" s="16">
        <f t="shared" si="147"/>
        <v>23.400000000000002</v>
      </c>
      <c r="H199" s="69"/>
      <c r="J199" s="10">
        <v>3</v>
      </c>
      <c r="K199" s="10">
        <v>3</v>
      </c>
      <c r="L199" s="42"/>
      <c r="M199" s="15">
        <v>6</v>
      </c>
      <c r="N199" s="15">
        <v>4.2</v>
      </c>
      <c r="O199" s="15">
        <v>2.4</v>
      </c>
      <c r="P199" s="16">
        <f t="shared" si="148"/>
        <v>31.449600000000004</v>
      </c>
      <c r="Q199" s="69"/>
      <c r="S199" s="10">
        <v>3</v>
      </c>
      <c r="T199" s="10">
        <v>3</v>
      </c>
      <c r="U199" s="42"/>
      <c r="V199" s="15">
        <v>4.5</v>
      </c>
      <c r="W199" s="15">
        <v>8.8000000000000007</v>
      </c>
      <c r="X199" s="15">
        <v>3.2</v>
      </c>
      <c r="Y199" s="16">
        <f t="shared" si="149"/>
        <v>65.894400000000005</v>
      </c>
      <c r="Z199" s="69"/>
      <c r="AB199" s="10">
        <v>3</v>
      </c>
      <c r="AC199" s="10">
        <v>3</v>
      </c>
      <c r="AD199" s="42"/>
      <c r="AE199" s="15">
        <v>8.6999999999999993</v>
      </c>
      <c r="AF199" s="15">
        <v>6.9</v>
      </c>
      <c r="AG199" s="15">
        <v>5.6</v>
      </c>
      <c r="AH199" s="16">
        <f t="shared" si="150"/>
        <v>174.80736000000002</v>
      </c>
      <c r="AI199" s="69"/>
      <c r="AK199" s="10">
        <v>3</v>
      </c>
      <c r="AL199" s="10">
        <v>3</v>
      </c>
      <c r="AM199" s="42"/>
      <c r="AN199" s="15">
        <v>10</v>
      </c>
      <c r="AO199" s="15">
        <v>6.3</v>
      </c>
      <c r="AP199" s="15">
        <v>5.8</v>
      </c>
      <c r="AQ199" s="16">
        <f t="shared" si="151"/>
        <v>190.00799999999998</v>
      </c>
      <c r="AR199" s="69"/>
      <c r="AT199" s="10">
        <v>3</v>
      </c>
      <c r="AU199" s="10">
        <v>3</v>
      </c>
      <c r="AV199" s="42"/>
      <c r="AW199" s="15">
        <v>12</v>
      </c>
      <c r="AX199" s="15">
        <v>8</v>
      </c>
      <c r="AY199" s="15">
        <v>7.5</v>
      </c>
      <c r="AZ199" s="16">
        <f t="shared" si="152"/>
        <v>374.40000000000003</v>
      </c>
      <c r="BA199" s="69"/>
      <c r="BC199" s="10">
        <v>3</v>
      </c>
      <c r="BD199" s="10">
        <v>3</v>
      </c>
      <c r="BE199" s="42"/>
      <c r="BF199" s="15">
        <v>9.1999999999999993</v>
      </c>
      <c r="BG199" s="15">
        <v>14</v>
      </c>
      <c r="BH199" s="15">
        <v>6.9</v>
      </c>
      <c r="BI199" s="16">
        <f t="shared" si="153"/>
        <v>462.13439999999997</v>
      </c>
      <c r="BJ199" s="69"/>
      <c r="BL199" s="10">
        <v>3</v>
      </c>
      <c r="BM199" s="10">
        <v>3</v>
      </c>
      <c r="BN199" s="42"/>
      <c r="BO199" s="15">
        <v>18</v>
      </c>
      <c r="BP199" s="15">
        <v>15.7</v>
      </c>
      <c r="BQ199" s="15">
        <v>10</v>
      </c>
      <c r="BR199" s="16">
        <f t="shared" si="154"/>
        <v>1469.5199999999998</v>
      </c>
      <c r="BS199" s="69"/>
      <c r="BU199" s="10">
        <v>3</v>
      </c>
      <c r="BV199" s="10">
        <v>3</v>
      </c>
      <c r="BW199" s="42"/>
      <c r="BX199" s="15">
        <v>18</v>
      </c>
      <c r="BY199" s="15">
        <v>14.9</v>
      </c>
      <c r="BZ199" s="15">
        <v>8.8000000000000007</v>
      </c>
      <c r="CA199" s="16">
        <f t="shared" si="155"/>
        <v>1227.2832000000003</v>
      </c>
      <c r="CB199" s="69"/>
      <c r="CD199" s="10">
        <v>3</v>
      </c>
      <c r="CE199" s="10">
        <v>3</v>
      </c>
      <c r="CF199" s="42"/>
      <c r="CG199" s="15">
        <v>20</v>
      </c>
      <c r="CH199" s="15">
        <v>18.5</v>
      </c>
      <c r="CI199" s="15">
        <v>9</v>
      </c>
      <c r="CJ199" s="16">
        <f t="shared" si="156"/>
        <v>1731.6000000000001</v>
      </c>
      <c r="CK199" s="69"/>
      <c r="CM199" s="10">
        <v>3</v>
      </c>
      <c r="CN199" s="10">
        <v>3</v>
      </c>
      <c r="CO199" s="42"/>
      <c r="CP199" s="15">
        <v>28</v>
      </c>
      <c r="CQ199" s="15">
        <v>22</v>
      </c>
      <c r="CR199" s="15">
        <v>12.5</v>
      </c>
      <c r="CS199" s="82">
        <f t="shared" si="157"/>
        <v>4004</v>
      </c>
      <c r="CT199" s="69" t="s">
        <v>82</v>
      </c>
      <c r="CV199" s="10">
        <v>3</v>
      </c>
      <c r="CW199" s="10">
        <v>3</v>
      </c>
      <c r="CX199" s="42"/>
      <c r="CY199" s="83"/>
      <c r="CZ199" s="83"/>
      <c r="DA199" s="83"/>
      <c r="DB199" s="82"/>
      <c r="DC199" s="69" t="s">
        <v>82</v>
      </c>
      <c r="DE199" s="10">
        <v>3</v>
      </c>
      <c r="DF199" s="10">
        <v>3</v>
      </c>
      <c r="DG199" s="42"/>
      <c r="DH199" s="83"/>
      <c r="DI199" s="83"/>
      <c r="DJ199" s="83"/>
      <c r="DK199" s="82"/>
      <c r="DL199" s="69" t="s">
        <v>82</v>
      </c>
      <c r="DN199" s="10">
        <v>3</v>
      </c>
      <c r="DO199" s="10">
        <v>3</v>
      </c>
      <c r="DP199" s="42"/>
      <c r="DQ199" s="83"/>
      <c r="DR199" s="83"/>
      <c r="DS199" s="83"/>
      <c r="DT199" s="82"/>
      <c r="DU199" s="69" t="s">
        <v>82</v>
      </c>
      <c r="DX199">
        <v>41</v>
      </c>
    </row>
    <row r="200" spans="1:128" x14ac:dyDescent="0.25">
      <c r="A200" s="10">
        <v>4</v>
      </c>
      <c r="B200" s="10">
        <v>4</v>
      </c>
      <c r="C200" s="42"/>
      <c r="D200" s="15">
        <v>4</v>
      </c>
      <c r="E200" s="15">
        <v>4</v>
      </c>
      <c r="F200" s="15">
        <v>3</v>
      </c>
      <c r="G200" s="16">
        <f t="shared" si="147"/>
        <v>24.96</v>
      </c>
      <c r="H200" s="69"/>
      <c r="J200" s="10">
        <v>4</v>
      </c>
      <c r="K200" s="10">
        <v>4</v>
      </c>
      <c r="L200" s="42"/>
      <c r="M200" s="15">
        <v>6.4</v>
      </c>
      <c r="N200" s="15">
        <v>4.5</v>
      </c>
      <c r="O200" s="15">
        <v>2.2999999999999998</v>
      </c>
      <c r="P200" s="16">
        <f t="shared" si="148"/>
        <v>34.444800000000001</v>
      </c>
      <c r="Q200" s="69"/>
      <c r="S200" s="10">
        <v>4</v>
      </c>
      <c r="T200" s="10">
        <v>4</v>
      </c>
      <c r="U200" s="42"/>
      <c r="V200" s="15">
        <v>8</v>
      </c>
      <c r="W200" s="15">
        <v>8</v>
      </c>
      <c r="X200" s="15">
        <v>4.4000000000000004</v>
      </c>
      <c r="Y200" s="16">
        <f t="shared" si="149"/>
        <v>146.43200000000002</v>
      </c>
      <c r="Z200" s="69"/>
      <c r="AB200" s="10">
        <v>4</v>
      </c>
      <c r="AC200" s="10">
        <v>4</v>
      </c>
      <c r="AD200" s="42"/>
      <c r="AE200" s="15">
        <v>7.7</v>
      </c>
      <c r="AF200" s="15">
        <v>7.8</v>
      </c>
      <c r="AG200" s="15">
        <v>5.0999999999999996</v>
      </c>
      <c r="AH200" s="16">
        <f t="shared" si="150"/>
        <v>159.27912000000001</v>
      </c>
      <c r="AI200" s="69"/>
      <c r="AK200" s="10">
        <v>4</v>
      </c>
      <c r="AL200" s="10">
        <v>4</v>
      </c>
      <c r="AM200" s="42"/>
      <c r="AN200" s="15">
        <v>8</v>
      </c>
      <c r="AO200" s="15">
        <v>7</v>
      </c>
      <c r="AP200" s="15">
        <v>4.9000000000000004</v>
      </c>
      <c r="AQ200" s="16">
        <f t="shared" si="151"/>
        <v>142.68800000000002</v>
      </c>
      <c r="AR200" s="69"/>
      <c r="AT200" s="10">
        <v>4</v>
      </c>
      <c r="AU200" s="10">
        <v>4</v>
      </c>
      <c r="AV200" s="42"/>
      <c r="AW200" s="15">
        <v>7.8</v>
      </c>
      <c r="AX200" s="15">
        <v>7.1</v>
      </c>
      <c r="AY200" s="15">
        <v>4</v>
      </c>
      <c r="AZ200" s="16">
        <f t="shared" si="152"/>
        <v>115.1904</v>
      </c>
      <c r="BA200" s="69"/>
      <c r="BC200" s="10">
        <v>4</v>
      </c>
      <c r="BD200" s="10">
        <v>4</v>
      </c>
      <c r="BE200" s="42"/>
      <c r="BF200" s="15">
        <v>7.4</v>
      </c>
      <c r="BG200" s="15">
        <v>11.5</v>
      </c>
      <c r="BH200" s="15">
        <v>4.2</v>
      </c>
      <c r="BI200" s="16">
        <f t="shared" si="153"/>
        <v>185.85840000000005</v>
      </c>
      <c r="BJ200" s="69"/>
      <c r="BL200" s="10">
        <v>4</v>
      </c>
      <c r="BM200" s="10">
        <v>4</v>
      </c>
      <c r="BN200" s="42"/>
      <c r="BO200" s="15">
        <v>10</v>
      </c>
      <c r="BP200" s="15">
        <v>10</v>
      </c>
      <c r="BQ200" s="15">
        <v>7</v>
      </c>
      <c r="BR200" s="16">
        <f t="shared" si="154"/>
        <v>364</v>
      </c>
      <c r="BS200" s="69"/>
      <c r="BU200" s="10">
        <v>4</v>
      </c>
      <c r="BV200" s="10">
        <v>4</v>
      </c>
      <c r="BW200" s="42"/>
      <c r="BX200" s="15">
        <v>8</v>
      </c>
      <c r="BY200" s="15">
        <v>8</v>
      </c>
      <c r="BZ200" s="15">
        <v>5</v>
      </c>
      <c r="CA200" s="16">
        <f t="shared" si="155"/>
        <v>166.4</v>
      </c>
      <c r="CB200" s="69"/>
      <c r="CD200" s="10">
        <v>4</v>
      </c>
      <c r="CE200" s="10">
        <v>4</v>
      </c>
      <c r="CF200" s="42"/>
      <c r="CG200" s="15" t="s">
        <v>49</v>
      </c>
      <c r="CH200" s="15"/>
      <c r="CI200" s="15"/>
      <c r="CJ200" s="75">
        <v>0</v>
      </c>
      <c r="CK200" s="69"/>
      <c r="CM200" s="10">
        <v>4</v>
      </c>
      <c r="CN200" s="10">
        <v>4</v>
      </c>
      <c r="CO200" s="42"/>
      <c r="CP200" s="15" t="s">
        <v>49</v>
      </c>
      <c r="CQ200" s="15"/>
      <c r="CR200" s="15"/>
      <c r="CS200" s="75">
        <v>0</v>
      </c>
      <c r="CT200" s="69"/>
      <c r="CV200" s="10">
        <v>4</v>
      </c>
      <c r="CW200" s="10">
        <v>4</v>
      </c>
      <c r="CX200" s="42"/>
      <c r="CY200" s="18" t="s">
        <v>49</v>
      </c>
      <c r="CZ200" s="15"/>
      <c r="DA200" s="15"/>
      <c r="DB200" s="75">
        <v>0</v>
      </c>
      <c r="DC200" s="69"/>
      <c r="DE200" s="10">
        <v>4</v>
      </c>
      <c r="DF200" s="10">
        <v>4</v>
      </c>
      <c r="DG200" s="42"/>
      <c r="DH200" s="18" t="s">
        <v>49</v>
      </c>
      <c r="DI200" s="15"/>
      <c r="DJ200" s="15"/>
      <c r="DK200" s="75">
        <v>0</v>
      </c>
      <c r="DL200" s="69"/>
      <c r="DN200" s="10">
        <v>4</v>
      </c>
      <c r="DO200" s="10">
        <v>4</v>
      </c>
      <c r="DP200" s="42"/>
      <c r="DQ200" s="15" t="s">
        <v>49</v>
      </c>
      <c r="DR200" s="15"/>
      <c r="DS200" s="15"/>
      <c r="DT200" s="75">
        <v>0</v>
      </c>
      <c r="DU200" s="69"/>
      <c r="DX200">
        <v>41</v>
      </c>
    </row>
    <row r="201" spans="1:128" x14ac:dyDescent="0.25">
      <c r="A201" s="10">
        <v>5</v>
      </c>
      <c r="B201" s="10">
        <v>5</v>
      </c>
      <c r="C201" s="42"/>
      <c r="D201" s="15">
        <v>4</v>
      </c>
      <c r="E201" s="15">
        <v>4</v>
      </c>
      <c r="F201" s="15">
        <v>3</v>
      </c>
      <c r="G201" s="16">
        <f t="shared" si="147"/>
        <v>24.96</v>
      </c>
      <c r="H201" s="69"/>
      <c r="J201" s="10">
        <v>5</v>
      </c>
      <c r="K201" s="10">
        <v>5</v>
      </c>
      <c r="L201" s="42"/>
      <c r="M201" s="15">
        <v>5.9</v>
      </c>
      <c r="N201" s="15">
        <v>5.6</v>
      </c>
      <c r="O201" s="15">
        <v>2.9</v>
      </c>
      <c r="P201" s="16">
        <f t="shared" si="148"/>
        <v>49.824319999999993</v>
      </c>
      <c r="Q201" s="69"/>
      <c r="S201" s="10">
        <v>5</v>
      </c>
      <c r="T201" s="10">
        <v>5</v>
      </c>
      <c r="U201" s="42"/>
      <c r="V201" s="15">
        <v>9</v>
      </c>
      <c r="W201" s="15">
        <v>6.4</v>
      </c>
      <c r="X201" s="15">
        <v>4.3</v>
      </c>
      <c r="Y201" s="16">
        <f t="shared" si="149"/>
        <v>128.7936</v>
      </c>
      <c r="Z201" s="69"/>
      <c r="AB201" s="10">
        <v>5</v>
      </c>
      <c r="AC201" s="10">
        <v>5</v>
      </c>
      <c r="AD201" s="42"/>
      <c r="AE201" s="15">
        <v>12.4</v>
      </c>
      <c r="AF201" s="15">
        <v>9.5</v>
      </c>
      <c r="AG201" s="15">
        <v>6</v>
      </c>
      <c r="AH201" s="16">
        <f t="shared" si="150"/>
        <v>367.536</v>
      </c>
      <c r="AI201" s="69"/>
      <c r="AK201" s="10">
        <v>5</v>
      </c>
      <c r="AL201" s="10">
        <v>5</v>
      </c>
      <c r="AM201" s="42"/>
      <c r="AN201" s="15">
        <v>14</v>
      </c>
      <c r="AO201" s="15">
        <v>11</v>
      </c>
      <c r="AP201" s="15">
        <v>7</v>
      </c>
      <c r="AQ201" s="16">
        <f t="shared" si="151"/>
        <v>560.56000000000006</v>
      </c>
      <c r="AR201" s="69"/>
      <c r="AT201" s="10">
        <v>5</v>
      </c>
      <c r="AU201" s="10">
        <v>5</v>
      </c>
      <c r="AV201" s="42"/>
      <c r="AW201" s="15">
        <v>15</v>
      </c>
      <c r="AX201" s="15">
        <v>13.3</v>
      </c>
      <c r="AY201" s="15">
        <v>8.8000000000000007</v>
      </c>
      <c r="AZ201" s="16">
        <f t="shared" si="152"/>
        <v>912.91200000000015</v>
      </c>
      <c r="BA201" s="69"/>
      <c r="BC201" s="10">
        <v>5</v>
      </c>
      <c r="BD201" s="10">
        <v>5</v>
      </c>
      <c r="BE201" s="42"/>
      <c r="BF201" s="15">
        <v>17</v>
      </c>
      <c r="BG201" s="15">
        <v>13</v>
      </c>
      <c r="BH201" s="15">
        <v>9</v>
      </c>
      <c r="BI201" s="16">
        <f t="shared" si="153"/>
        <v>1034.28</v>
      </c>
      <c r="BJ201" s="69"/>
      <c r="BL201" s="10">
        <v>5</v>
      </c>
      <c r="BM201" s="10">
        <v>5</v>
      </c>
      <c r="BN201" s="42"/>
      <c r="BO201" s="15">
        <v>16.600000000000001</v>
      </c>
      <c r="BP201" s="15">
        <v>15</v>
      </c>
      <c r="BQ201" s="15">
        <v>12.9</v>
      </c>
      <c r="BR201" s="16">
        <f t="shared" si="154"/>
        <v>1670.2920000000001</v>
      </c>
      <c r="BS201" s="69"/>
      <c r="BU201" s="10">
        <v>5</v>
      </c>
      <c r="BV201" s="10">
        <v>5</v>
      </c>
      <c r="BW201" s="42"/>
      <c r="BX201" s="15">
        <v>23</v>
      </c>
      <c r="BY201" s="15">
        <v>21.5</v>
      </c>
      <c r="BZ201" s="15">
        <v>14</v>
      </c>
      <c r="CA201" s="76">
        <f t="shared" si="155"/>
        <v>3599.96</v>
      </c>
      <c r="CB201" s="69" t="s">
        <v>74</v>
      </c>
      <c r="CD201" s="10">
        <v>5</v>
      </c>
      <c r="CE201" s="10">
        <v>5</v>
      </c>
      <c r="CF201" s="42"/>
      <c r="CG201" s="77"/>
      <c r="CH201" s="77"/>
      <c r="CI201" s="77"/>
      <c r="CJ201" s="76"/>
      <c r="CK201" s="69" t="s">
        <v>74</v>
      </c>
      <c r="CM201" s="10">
        <v>5</v>
      </c>
      <c r="CN201" s="10">
        <v>5</v>
      </c>
      <c r="CO201" s="42"/>
      <c r="CP201" s="77"/>
      <c r="CQ201" s="77"/>
      <c r="CR201" s="77"/>
      <c r="CS201" s="76"/>
      <c r="CT201" s="69" t="s">
        <v>74</v>
      </c>
      <c r="CV201" s="10">
        <v>5</v>
      </c>
      <c r="CW201" s="10">
        <v>5</v>
      </c>
      <c r="CX201" s="42"/>
      <c r="CY201" s="77"/>
      <c r="CZ201" s="77"/>
      <c r="DA201" s="77"/>
      <c r="DB201" s="76"/>
      <c r="DC201" s="69" t="s">
        <v>74</v>
      </c>
      <c r="DE201" s="10">
        <v>5</v>
      </c>
      <c r="DF201" s="10">
        <v>5</v>
      </c>
      <c r="DG201" s="42"/>
      <c r="DH201" s="77"/>
      <c r="DI201" s="77"/>
      <c r="DJ201" s="77"/>
      <c r="DK201" s="76"/>
      <c r="DL201" s="69" t="s">
        <v>74</v>
      </c>
      <c r="DN201" s="10">
        <v>5</v>
      </c>
      <c r="DO201" s="10">
        <v>5</v>
      </c>
      <c r="DP201" s="42"/>
      <c r="DQ201" s="77"/>
      <c r="DR201" s="77"/>
      <c r="DS201" s="77"/>
      <c r="DT201" s="76"/>
      <c r="DU201" s="69" t="s">
        <v>74</v>
      </c>
      <c r="DX201">
        <v>41</v>
      </c>
    </row>
    <row r="202" spans="1:128" x14ac:dyDescent="0.25">
      <c r="A202" s="10">
        <v>6</v>
      </c>
      <c r="B202" s="10">
        <v>6</v>
      </c>
      <c r="C202" s="42"/>
      <c r="D202" s="15">
        <v>5</v>
      </c>
      <c r="E202" s="15">
        <v>5</v>
      </c>
      <c r="F202" s="15">
        <v>4</v>
      </c>
      <c r="G202" s="16">
        <f t="shared" si="147"/>
        <v>52</v>
      </c>
      <c r="H202" s="69"/>
      <c r="J202" s="10">
        <v>6</v>
      </c>
      <c r="K202" s="10">
        <v>6</v>
      </c>
      <c r="L202" s="42"/>
      <c r="M202" s="15">
        <v>7</v>
      </c>
      <c r="N202" s="15">
        <v>5</v>
      </c>
      <c r="O202" s="15">
        <v>3.3</v>
      </c>
      <c r="P202" s="16">
        <f t="shared" si="148"/>
        <v>60.06</v>
      </c>
      <c r="Q202" s="69"/>
      <c r="S202" s="10">
        <v>6</v>
      </c>
      <c r="T202" s="10">
        <v>6</v>
      </c>
      <c r="U202" s="42"/>
      <c r="V202" s="15">
        <v>7.8</v>
      </c>
      <c r="W202" s="15">
        <v>9.3000000000000007</v>
      </c>
      <c r="X202" s="15">
        <v>5.3</v>
      </c>
      <c r="Y202" s="16">
        <f t="shared" si="149"/>
        <v>199.92024000000004</v>
      </c>
      <c r="Z202" s="69"/>
      <c r="AB202" s="10">
        <v>6</v>
      </c>
      <c r="AC202" s="10">
        <v>6</v>
      </c>
      <c r="AD202" s="42"/>
      <c r="AE202" s="15">
        <v>11.3</v>
      </c>
      <c r="AF202" s="15">
        <v>10.6</v>
      </c>
      <c r="AG202" s="15">
        <v>7.3</v>
      </c>
      <c r="AH202" s="16">
        <f t="shared" si="150"/>
        <v>454.68488000000002</v>
      </c>
      <c r="AI202" s="69"/>
      <c r="AK202" s="10">
        <v>6</v>
      </c>
      <c r="AL202" s="10">
        <v>6</v>
      </c>
      <c r="AM202" s="42"/>
      <c r="AN202" s="15">
        <v>10.9</v>
      </c>
      <c r="AO202" s="15">
        <v>6.5</v>
      </c>
      <c r="AP202" s="15">
        <v>5.5</v>
      </c>
      <c r="AQ202" s="16">
        <f t="shared" si="151"/>
        <v>202.63100000000003</v>
      </c>
      <c r="AR202" s="69"/>
      <c r="AT202" s="10">
        <v>6</v>
      </c>
      <c r="AU202" s="10">
        <v>6</v>
      </c>
      <c r="AV202" s="42"/>
      <c r="AW202" s="15">
        <v>7.6</v>
      </c>
      <c r="AX202" s="15">
        <v>11</v>
      </c>
      <c r="AY202" s="15">
        <v>7.1</v>
      </c>
      <c r="AZ202" s="16">
        <f t="shared" si="152"/>
        <v>308.65119999999996</v>
      </c>
      <c r="BA202" s="69"/>
      <c r="BC202" s="10">
        <v>6</v>
      </c>
      <c r="BD202" s="10">
        <v>6</v>
      </c>
      <c r="BE202" s="42"/>
      <c r="BF202" s="15">
        <v>13.2</v>
      </c>
      <c r="BG202" s="15">
        <v>14</v>
      </c>
      <c r="BH202" s="15">
        <v>10</v>
      </c>
      <c r="BI202" s="16">
        <f t="shared" si="153"/>
        <v>960.95999999999992</v>
      </c>
      <c r="BJ202" s="69"/>
      <c r="BL202" s="10">
        <v>6</v>
      </c>
      <c r="BM202" s="10">
        <v>6</v>
      </c>
      <c r="BN202" s="42"/>
      <c r="BO202" s="15">
        <v>8.6999999999999993</v>
      </c>
      <c r="BP202" s="15">
        <v>13.8</v>
      </c>
      <c r="BQ202" s="15">
        <v>8.3000000000000007</v>
      </c>
      <c r="BR202" s="16">
        <f t="shared" si="154"/>
        <v>518.17896000000007</v>
      </c>
      <c r="BS202" s="69"/>
      <c r="BU202" s="10">
        <v>6</v>
      </c>
      <c r="BV202" s="10">
        <v>6</v>
      </c>
      <c r="BW202" s="42"/>
      <c r="BX202" s="15">
        <v>16</v>
      </c>
      <c r="BY202" s="15">
        <v>14</v>
      </c>
      <c r="BZ202" s="15">
        <v>9.6999999999999993</v>
      </c>
      <c r="CA202" s="16">
        <f t="shared" si="155"/>
        <v>1129.856</v>
      </c>
      <c r="CB202" s="69"/>
      <c r="CD202" s="10">
        <v>6</v>
      </c>
      <c r="CE202" s="10">
        <v>6</v>
      </c>
      <c r="CF202" s="42"/>
      <c r="CG202" s="15">
        <v>20</v>
      </c>
      <c r="CH202" s="15">
        <v>16</v>
      </c>
      <c r="CI202" s="15">
        <v>10</v>
      </c>
      <c r="CJ202" s="16">
        <f t="shared" si="156"/>
        <v>1664</v>
      </c>
      <c r="CK202" s="69"/>
      <c r="CM202" s="10">
        <v>6</v>
      </c>
      <c r="CN202" s="10">
        <v>6</v>
      </c>
      <c r="CO202" s="42"/>
      <c r="CP202" s="15">
        <v>20</v>
      </c>
      <c r="CQ202" s="15">
        <v>16.3</v>
      </c>
      <c r="CR202" s="15">
        <v>14</v>
      </c>
      <c r="CS202" s="82">
        <f t="shared" ref="CS202:CS205" si="158">CP202*CQ202*CR202*0.52</f>
        <v>2373.2800000000002</v>
      </c>
      <c r="CT202" s="69" t="s">
        <v>82</v>
      </c>
      <c r="CV202" s="10">
        <v>6</v>
      </c>
      <c r="CW202" s="10">
        <v>6</v>
      </c>
      <c r="CX202" s="42"/>
      <c r="CY202" s="77"/>
      <c r="CZ202" s="77"/>
      <c r="DA202" s="77"/>
      <c r="DB202" s="76"/>
      <c r="DC202" s="69" t="s">
        <v>82</v>
      </c>
      <c r="DE202" s="10">
        <v>6</v>
      </c>
      <c r="DF202" s="10">
        <v>6</v>
      </c>
      <c r="DG202" s="42"/>
      <c r="DH202" s="77"/>
      <c r="DI202" s="77"/>
      <c r="DJ202" s="77"/>
      <c r="DK202" s="76"/>
      <c r="DL202" s="69" t="s">
        <v>82</v>
      </c>
      <c r="DN202" s="10">
        <v>6</v>
      </c>
      <c r="DO202" s="10">
        <v>6</v>
      </c>
      <c r="DP202" s="42"/>
      <c r="DQ202" s="77"/>
      <c r="DR202" s="77"/>
      <c r="DS202" s="77"/>
      <c r="DT202" s="76"/>
      <c r="DU202" s="69" t="s">
        <v>82</v>
      </c>
      <c r="DX202">
        <v>41</v>
      </c>
    </row>
    <row r="203" spans="1:128" x14ac:dyDescent="0.25">
      <c r="A203" s="10">
        <v>7</v>
      </c>
      <c r="B203" s="68">
        <v>14</v>
      </c>
      <c r="C203" s="42"/>
      <c r="D203" s="15">
        <v>4</v>
      </c>
      <c r="E203" s="15">
        <v>3</v>
      </c>
      <c r="F203" s="15">
        <v>3</v>
      </c>
      <c r="G203" s="16">
        <f t="shared" si="147"/>
        <v>18.72</v>
      </c>
      <c r="H203" s="69"/>
      <c r="J203" s="10">
        <v>7</v>
      </c>
      <c r="K203" s="68">
        <v>14</v>
      </c>
      <c r="L203" s="42"/>
      <c r="M203" s="15">
        <v>7</v>
      </c>
      <c r="N203" s="15">
        <v>4.8</v>
      </c>
      <c r="O203" s="15">
        <v>2.5</v>
      </c>
      <c r="P203" s="16">
        <f t="shared" si="148"/>
        <v>43.68</v>
      </c>
      <c r="Q203" s="69"/>
      <c r="S203" s="10">
        <v>7</v>
      </c>
      <c r="T203" s="68">
        <v>14</v>
      </c>
      <c r="U203" s="42"/>
      <c r="V203" s="15">
        <v>5</v>
      </c>
      <c r="W203" s="15">
        <v>5</v>
      </c>
      <c r="X203" s="15">
        <v>3</v>
      </c>
      <c r="Y203" s="16">
        <f t="shared" si="149"/>
        <v>39</v>
      </c>
      <c r="Z203" s="69"/>
      <c r="AB203" s="10">
        <v>7</v>
      </c>
      <c r="AC203" s="68">
        <v>14</v>
      </c>
      <c r="AD203" s="42"/>
      <c r="AE203" s="15">
        <v>5</v>
      </c>
      <c r="AF203" s="15">
        <v>5</v>
      </c>
      <c r="AG203" s="15">
        <v>5</v>
      </c>
      <c r="AH203" s="16">
        <f t="shared" si="150"/>
        <v>65</v>
      </c>
      <c r="AI203" s="69"/>
      <c r="AK203" s="10">
        <v>7</v>
      </c>
      <c r="AL203" s="68">
        <v>14</v>
      </c>
      <c r="AM203" s="42"/>
      <c r="AN203" s="15">
        <v>5</v>
      </c>
      <c r="AO203" s="15">
        <v>5</v>
      </c>
      <c r="AP203" s="15">
        <v>5</v>
      </c>
      <c r="AQ203" s="16">
        <f t="shared" si="151"/>
        <v>65</v>
      </c>
      <c r="AR203" s="69"/>
      <c r="AT203" s="10">
        <v>7</v>
      </c>
      <c r="AU203" s="68">
        <v>14</v>
      </c>
      <c r="AV203" s="42"/>
      <c r="AW203" s="15">
        <v>5</v>
      </c>
      <c r="AX203" s="15">
        <v>5</v>
      </c>
      <c r="AY203" s="15">
        <v>4</v>
      </c>
      <c r="AZ203" s="16">
        <f t="shared" si="152"/>
        <v>52</v>
      </c>
      <c r="BA203" s="69"/>
      <c r="BC203" s="10">
        <v>7</v>
      </c>
      <c r="BD203" s="68">
        <v>14</v>
      </c>
      <c r="BE203" s="42"/>
      <c r="BF203" s="15">
        <v>5</v>
      </c>
      <c r="BG203" s="15">
        <v>5</v>
      </c>
      <c r="BH203" s="15">
        <v>3</v>
      </c>
      <c r="BI203" s="16">
        <f t="shared" si="153"/>
        <v>39</v>
      </c>
      <c r="BJ203" s="69"/>
      <c r="BL203" s="10">
        <v>7</v>
      </c>
      <c r="BM203" s="68">
        <v>14</v>
      </c>
      <c r="BN203" s="42"/>
      <c r="BO203" s="15" t="s">
        <v>49</v>
      </c>
      <c r="BP203" s="15"/>
      <c r="BQ203" s="15"/>
      <c r="BR203" s="75">
        <v>0</v>
      </c>
      <c r="BS203" s="69"/>
      <c r="BU203" s="10">
        <v>7</v>
      </c>
      <c r="BV203" s="68">
        <v>14</v>
      </c>
      <c r="BW203" s="42"/>
      <c r="BX203" s="15" t="s">
        <v>49</v>
      </c>
      <c r="BY203" s="15"/>
      <c r="BZ203" s="15"/>
      <c r="CA203" s="75">
        <v>0</v>
      </c>
      <c r="CB203" s="69"/>
      <c r="CD203" s="10">
        <v>7</v>
      </c>
      <c r="CE203" s="68">
        <v>14</v>
      </c>
      <c r="CF203" s="42"/>
      <c r="CG203" s="15" t="s">
        <v>49</v>
      </c>
      <c r="CH203" s="15"/>
      <c r="CI203" s="15"/>
      <c r="CJ203" s="75">
        <v>0</v>
      </c>
      <c r="CK203" s="69"/>
      <c r="CM203" s="10">
        <v>7</v>
      </c>
      <c r="CN203" s="68">
        <v>14</v>
      </c>
      <c r="CO203" s="42"/>
      <c r="CP203" s="15" t="s">
        <v>49</v>
      </c>
      <c r="CQ203" s="15"/>
      <c r="CR203" s="15"/>
      <c r="CS203" s="75">
        <v>0</v>
      </c>
      <c r="CT203" s="69"/>
      <c r="CV203" s="10">
        <v>7</v>
      </c>
      <c r="CW203" s="68">
        <v>14</v>
      </c>
      <c r="CX203" s="42"/>
      <c r="CY203" s="18" t="s">
        <v>49</v>
      </c>
      <c r="CZ203" s="15"/>
      <c r="DA203" s="15"/>
      <c r="DB203" s="75">
        <v>0</v>
      </c>
      <c r="DC203" s="69"/>
      <c r="DE203" s="10">
        <v>7</v>
      </c>
      <c r="DF203" s="68">
        <v>14</v>
      </c>
      <c r="DG203" s="42"/>
      <c r="DH203" s="18" t="s">
        <v>49</v>
      </c>
      <c r="DI203" s="15"/>
      <c r="DJ203" s="15"/>
      <c r="DK203" s="75">
        <v>0</v>
      </c>
      <c r="DL203" s="69"/>
      <c r="DN203" s="10">
        <v>7</v>
      </c>
      <c r="DO203" s="68">
        <v>14</v>
      </c>
      <c r="DP203" s="42"/>
      <c r="DQ203" s="15" t="s">
        <v>49</v>
      </c>
      <c r="DR203" s="15"/>
      <c r="DS203" s="15"/>
      <c r="DT203" s="75">
        <v>0</v>
      </c>
      <c r="DU203" s="69"/>
      <c r="DX203">
        <v>56</v>
      </c>
    </row>
    <row r="204" spans="1:128" x14ac:dyDescent="0.25">
      <c r="A204" s="10">
        <v>8</v>
      </c>
      <c r="B204" s="68">
        <v>15</v>
      </c>
      <c r="C204" s="42"/>
      <c r="D204" s="15">
        <v>7</v>
      </c>
      <c r="E204" s="15">
        <v>4</v>
      </c>
      <c r="F204" s="15">
        <v>3</v>
      </c>
      <c r="G204" s="16">
        <f t="shared" si="147"/>
        <v>43.68</v>
      </c>
      <c r="H204" s="69"/>
      <c r="J204" s="10">
        <v>8</v>
      </c>
      <c r="K204" s="68">
        <v>15</v>
      </c>
      <c r="L204" s="42"/>
      <c r="M204" s="15">
        <v>5.6</v>
      </c>
      <c r="N204" s="15">
        <v>5</v>
      </c>
      <c r="O204" s="15">
        <v>3.2</v>
      </c>
      <c r="P204" s="16">
        <f t="shared" si="148"/>
        <v>46.592000000000006</v>
      </c>
      <c r="Q204" s="69"/>
      <c r="S204" s="10">
        <v>8</v>
      </c>
      <c r="T204" s="68">
        <v>15</v>
      </c>
      <c r="U204" s="42"/>
      <c r="V204" s="15">
        <v>6</v>
      </c>
      <c r="W204" s="15">
        <v>6</v>
      </c>
      <c r="X204" s="15">
        <v>4</v>
      </c>
      <c r="Y204" s="16">
        <f t="shared" si="149"/>
        <v>74.88</v>
      </c>
      <c r="Z204" s="69"/>
      <c r="AB204" s="10">
        <v>8</v>
      </c>
      <c r="AC204" s="68">
        <v>15</v>
      </c>
      <c r="AD204" s="42"/>
      <c r="AE204" s="15">
        <v>10</v>
      </c>
      <c r="AF204" s="15">
        <v>7</v>
      </c>
      <c r="AG204" s="15">
        <v>5.3</v>
      </c>
      <c r="AH204" s="16">
        <f t="shared" si="150"/>
        <v>192.92000000000002</v>
      </c>
      <c r="AI204" s="69"/>
      <c r="AK204" s="10">
        <v>8</v>
      </c>
      <c r="AL204" s="68">
        <v>15</v>
      </c>
      <c r="AM204" s="42"/>
      <c r="AN204" s="15">
        <v>11.9</v>
      </c>
      <c r="AO204" s="15">
        <v>9</v>
      </c>
      <c r="AP204" s="15">
        <v>4.8</v>
      </c>
      <c r="AQ204" s="16">
        <f t="shared" si="151"/>
        <v>267.32160000000005</v>
      </c>
      <c r="AR204" s="69"/>
      <c r="AT204" s="10">
        <v>8</v>
      </c>
      <c r="AU204" s="68">
        <v>15</v>
      </c>
      <c r="AV204" s="42"/>
      <c r="AW204" s="15">
        <v>8</v>
      </c>
      <c r="AX204" s="15">
        <v>10</v>
      </c>
      <c r="AY204" s="15">
        <v>5.5</v>
      </c>
      <c r="AZ204" s="16">
        <f t="shared" si="152"/>
        <v>228.8</v>
      </c>
      <c r="BA204" s="69"/>
      <c r="BC204" s="10">
        <v>8</v>
      </c>
      <c r="BD204" s="68">
        <v>15</v>
      </c>
      <c r="BE204" s="42"/>
      <c r="BF204" s="15">
        <v>18</v>
      </c>
      <c r="BG204" s="15">
        <v>11.6</v>
      </c>
      <c r="BH204" s="15">
        <v>6.9</v>
      </c>
      <c r="BI204" s="16">
        <f t="shared" si="153"/>
        <v>749.17439999999999</v>
      </c>
      <c r="BJ204" s="69"/>
      <c r="BL204" s="10">
        <v>8</v>
      </c>
      <c r="BM204" s="68">
        <v>15</v>
      </c>
      <c r="BN204" s="42"/>
      <c r="BO204" s="15">
        <v>23</v>
      </c>
      <c r="BP204" s="15">
        <v>16</v>
      </c>
      <c r="BQ204" s="15">
        <v>9.1</v>
      </c>
      <c r="BR204" s="16">
        <f t="shared" si="154"/>
        <v>1741.376</v>
      </c>
      <c r="BS204" s="69"/>
      <c r="BU204" s="10">
        <v>8</v>
      </c>
      <c r="BV204" s="68">
        <v>15</v>
      </c>
      <c r="BW204" s="42"/>
      <c r="BX204" s="15">
        <v>23</v>
      </c>
      <c r="BY204" s="15">
        <v>15.6</v>
      </c>
      <c r="BZ204" s="15">
        <v>8.9</v>
      </c>
      <c r="CA204" s="16">
        <f t="shared" si="155"/>
        <v>1660.5264000000002</v>
      </c>
      <c r="CB204" s="69"/>
      <c r="CD204" s="10">
        <v>8</v>
      </c>
      <c r="CE204" s="68">
        <v>15</v>
      </c>
      <c r="CF204" s="42"/>
      <c r="CG204" s="15">
        <v>26</v>
      </c>
      <c r="CH204" s="15">
        <v>20</v>
      </c>
      <c r="CI204" s="15">
        <v>13.6</v>
      </c>
      <c r="CJ204" s="82">
        <f t="shared" si="156"/>
        <v>3677.44</v>
      </c>
      <c r="CK204" s="69" t="s">
        <v>78</v>
      </c>
      <c r="CM204" s="10">
        <v>8</v>
      </c>
      <c r="CN204" s="68">
        <v>15</v>
      </c>
      <c r="CO204" s="42"/>
      <c r="CP204" s="83"/>
      <c r="CQ204" s="83"/>
      <c r="CR204" s="83"/>
      <c r="CS204" s="82"/>
      <c r="CT204" s="69" t="s">
        <v>78</v>
      </c>
      <c r="CV204" s="10">
        <v>8</v>
      </c>
      <c r="CW204" s="68">
        <v>15</v>
      </c>
      <c r="CX204" s="42"/>
      <c r="CY204" s="83"/>
      <c r="CZ204" s="83"/>
      <c r="DA204" s="83"/>
      <c r="DB204" s="82"/>
      <c r="DC204" s="69" t="s">
        <v>78</v>
      </c>
      <c r="DE204" s="10">
        <v>8</v>
      </c>
      <c r="DF204" s="68">
        <v>15</v>
      </c>
      <c r="DG204" s="42"/>
      <c r="DH204" s="83"/>
      <c r="DI204" s="83"/>
      <c r="DJ204" s="83"/>
      <c r="DK204" s="82"/>
      <c r="DL204" s="69" t="s">
        <v>78</v>
      </c>
      <c r="DN204" s="10">
        <v>8</v>
      </c>
      <c r="DO204" s="68">
        <v>15</v>
      </c>
      <c r="DP204" s="42"/>
      <c r="DQ204" s="83"/>
      <c r="DR204" s="83"/>
      <c r="DS204" s="83"/>
      <c r="DT204" s="82"/>
      <c r="DU204" s="69" t="s">
        <v>78</v>
      </c>
      <c r="DX204" s="88"/>
    </row>
    <row r="205" spans="1:128" x14ac:dyDescent="0.25">
      <c r="A205" s="10">
        <v>9</v>
      </c>
      <c r="B205" s="19" t="s">
        <v>8</v>
      </c>
      <c r="C205" s="42"/>
      <c r="D205" s="15">
        <v>3</v>
      </c>
      <c r="E205" s="15">
        <v>3</v>
      </c>
      <c r="F205" s="15">
        <v>3</v>
      </c>
      <c r="G205" s="16">
        <f t="shared" si="147"/>
        <v>14.040000000000001</v>
      </c>
      <c r="H205" s="69"/>
      <c r="J205" s="10">
        <v>9</v>
      </c>
      <c r="K205" s="19" t="s">
        <v>8</v>
      </c>
      <c r="L205" s="42"/>
      <c r="M205" s="15">
        <v>6.6</v>
      </c>
      <c r="N205" s="15">
        <v>4.7</v>
      </c>
      <c r="O205" s="15">
        <v>3</v>
      </c>
      <c r="P205" s="16">
        <f t="shared" si="148"/>
        <v>48.391200000000005</v>
      </c>
      <c r="Q205" s="69"/>
      <c r="S205" s="10">
        <v>9</v>
      </c>
      <c r="T205" s="19" t="s">
        <v>8</v>
      </c>
      <c r="U205" s="42"/>
      <c r="V205" s="15">
        <v>6.3</v>
      </c>
      <c r="W205" s="15">
        <v>8</v>
      </c>
      <c r="X205" s="15">
        <v>3.7</v>
      </c>
      <c r="Y205" s="16">
        <f t="shared" si="149"/>
        <v>96.9696</v>
      </c>
      <c r="Z205" s="69"/>
      <c r="AB205" s="10">
        <v>9</v>
      </c>
      <c r="AC205" s="19" t="s">
        <v>8</v>
      </c>
      <c r="AD205" s="42"/>
      <c r="AE205" s="15">
        <v>10</v>
      </c>
      <c r="AF205" s="15">
        <v>7.7</v>
      </c>
      <c r="AG205" s="15">
        <v>5.9</v>
      </c>
      <c r="AH205" s="16">
        <f t="shared" si="150"/>
        <v>236.23600000000002</v>
      </c>
      <c r="AI205" s="69"/>
      <c r="AK205" s="10">
        <v>9</v>
      </c>
      <c r="AL205" s="19" t="s">
        <v>8</v>
      </c>
      <c r="AM205" s="42"/>
      <c r="AN205" s="15">
        <v>8.5</v>
      </c>
      <c r="AO205" s="15">
        <v>7</v>
      </c>
      <c r="AP205" s="15">
        <v>5.2</v>
      </c>
      <c r="AQ205" s="16">
        <f t="shared" si="151"/>
        <v>160.88800000000003</v>
      </c>
      <c r="AR205" s="69"/>
      <c r="AT205" s="10">
        <v>9</v>
      </c>
      <c r="AU205" s="19" t="s">
        <v>8</v>
      </c>
      <c r="AV205" s="42"/>
      <c r="AW205" s="15">
        <v>7</v>
      </c>
      <c r="AX205" s="15">
        <v>7</v>
      </c>
      <c r="AY205" s="15">
        <v>4</v>
      </c>
      <c r="AZ205" s="16">
        <f t="shared" si="152"/>
        <v>101.92</v>
      </c>
      <c r="BA205" s="69"/>
      <c r="BC205" s="10">
        <v>9</v>
      </c>
      <c r="BD205" s="19" t="s">
        <v>8</v>
      </c>
      <c r="BE205" s="42"/>
      <c r="BF205" s="15">
        <v>10.199999999999999</v>
      </c>
      <c r="BG205" s="15">
        <v>9.3000000000000007</v>
      </c>
      <c r="BH205" s="15">
        <v>5</v>
      </c>
      <c r="BI205" s="16">
        <f t="shared" si="153"/>
        <v>246.63600000000002</v>
      </c>
      <c r="BJ205" s="69"/>
      <c r="BL205" s="10">
        <v>9</v>
      </c>
      <c r="BM205" s="19" t="s">
        <v>8</v>
      </c>
      <c r="BN205" s="42"/>
      <c r="BO205" s="15">
        <v>11</v>
      </c>
      <c r="BP205" s="15">
        <v>11</v>
      </c>
      <c r="BQ205" s="15">
        <v>8.9</v>
      </c>
      <c r="BR205" s="16">
        <f t="shared" si="154"/>
        <v>559.98800000000006</v>
      </c>
      <c r="BS205" s="69"/>
      <c r="BU205" s="10">
        <v>9</v>
      </c>
      <c r="BV205" s="19" t="s">
        <v>8</v>
      </c>
      <c r="BW205" s="42"/>
      <c r="BX205" s="15">
        <v>13</v>
      </c>
      <c r="BY205" s="15">
        <v>13</v>
      </c>
      <c r="BZ205" s="15">
        <v>9</v>
      </c>
      <c r="CA205" s="16">
        <f t="shared" si="155"/>
        <v>790.92000000000007</v>
      </c>
      <c r="CB205" s="69"/>
      <c r="CD205" s="10">
        <v>9</v>
      </c>
      <c r="CE205" s="19" t="s">
        <v>8</v>
      </c>
      <c r="CF205" s="42"/>
      <c r="CG205" s="15">
        <v>19.8</v>
      </c>
      <c r="CH205" s="15">
        <v>17.8</v>
      </c>
      <c r="CI205" s="15">
        <v>9.4</v>
      </c>
      <c r="CJ205" s="16">
        <f t="shared" si="156"/>
        <v>1722.7267200000003</v>
      </c>
      <c r="CK205" s="69"/>
      <c r="CM205" s="10">
        <v>9</v>
      </c>
      <c r="CN205" s="19" t="s">
        <v>8</v>
      </c>
      <c r="CO205" s="42"/>
      <c r="CP205" s="15">
        <v>17.7</v>
      </c>
      <c r="CQ205" s="15">
        <v>22</v>
      </c>
      <c r="CR205" s="15">
        <v>14</v>
      </c>
      <c r="CS205" s="82">
        <f t="shared" si="158"/>
        <v>2834.8319999999999</v>
      </c>
      <c r="CT205" s="69" t="s">
        <v>82</v>
      </c>
      <c r="CV205" s="10">
        <v>9</v>
      </c>
      <c r="CW205" s="19" t="s">
        <v>8</v>
      </c>
      <c r="CX205" s="42"/>
      <c r="CY205" s="83"/>
      <c r="CZ205" s="83"/>
      <c r="DA205" s="83"/>
      <c r="DB205" s="82"/>
      <c r="DC205" s="69" t="s">
        <v>82</v>
      </c>
      <c r="DE205" s="10">
        <v>9</v>
      </c>
      <c r="DF205" s="19" t="s">
        <v>8</v>
      </c>
      <c r="DG205" s="42"/>
      <c r="DH205" s="83"/>
      <c r="DI205" s="83"/>
      <c r="DJ205" s="83"/>
      <c r="DK205" s="82"/>
      <c r="DL205" s="69" t="s">
        <v>82</v>
      </c>
      <c r="DN205" s="10">
        <v>9</v>
      </c>
      <c r="DO205" s="19" t="s">
        <v>8</v>
      </c>
      <c r="DP205" s="42"/>
      <c r="DQ205" s="83"/>
      <c r="DR205" s="83"/>
      <c r="DS205" s="83"/>
      <c r="DT205" s="82"/>
      <c r="DU205" s="69" t="s">
        <v>82</v>
      </c>
      <c r="DX205" s="88"/>
    </row>
    <row r="206" spans="1:128" x14ac:dyDescent="0.25">
      <c r="A206" s="20" t="s">
        <v>9</v>
      </c>
      <c r="B206" s="20"/>
      <c r="C206" s="21"/>
      <c r="D206" s="22"/>
      <c r="E206" s="22"/>
      <c r="F206" s="22"/>
      <c r="G206" s="21">
        <f>AVERAGE(G197:G205)</f>
        <v>30.737777777777783</v>
      </c>
      <c r="H206" s="47"/>
      <c r="J206" s="20" t="s">
        <v>9</v>
      </c>
      <c r="K206" s="20"/>
      <c r="L206" s="21"/>
      <c r="M206" s="22"/>
      <c r="N206" s="22"/>
      <c r="O206" s="22"/>
      <c r="P206" s="21">
        <f>AVERAGE(P197:P205)</f>
        <v>43.597204444444444</v>
      </c>
      <c r="Q206" s="47"/>
      <c r="S206" s="20" t="s">
        <v>9</v>
      </c>
      <c r="T206" s="20"/>
      <c r="U206" s="21"/>
      <c r="V206" s="22"/>
      <c r="W206" s="22"/>
      <c r="X206" s="22"/>
      <c r="Y206" s="21">
        <f>AVERAGE(Y197:Y205)</f>
        <v>96.161982222222221</v>
      </c>
      <c r="Z206" s="47"/>
      <c r="AB206" s="20" t="s">
        <v>9</v>
      </c>
      <c r="AC206" s="20"/>
      <c r="AD206" s="21"/>
      <c r="AE206" s="22"/>
      <c r="AF206" s="22"/>
      <c r="AG206" s="22"/>
      <c r="AH206" s="21">
        <f>AVERAGE(AH197:AH205)</f>
        <v>213.09415111111113</v>
      </c>
      <c r="AI206" s="47"/>
      <c r="AK206" s="20" t="s">
        <v>9</v>
      </c>
      <c r="AL206" s="20"/>
      <c r="AM206" s="21"/>
      <c r="AN206" s="22"/>
      <c r="AO206" s="22"/>
      <c r="AP206" s="22"/>
      <c r="AQ206" s="21">
        <f>AVERAGE(AQ197:AQ205)</f>
        <v>196.67295555555555</v>
      </c>
      <c r="AR206" s="47"/>
      <c r="AT206" s="20" t="s">
        <v>9</v>
      </c>
      <c r="AU206" s="20"/>
      <c r="AV206" s="21"/>
      <c r="AW206" s="22"/>
      <c r="AX206" s="22"/>
      <c r="AY206" s="22"/>
      <c r="AZ206" s="21">
        <f>AVERAGE(AZ197:AZ205)</f>
        <v>290.16028888888894</v>
      </c>
      <c r="BA206" s="47"/>
      <c r="BC206" s="20" t="s">
        <v>9</v>
      </c>
      <c r="BD206" s="20"/>
      <c r="BE206" s="21"/>
      <c r="BF206" s="22"/>
      <c r="BG206" s="22"/>
      <c r="BH206" s="22"/>
      <c r="BI206" s="21">
        <f>AVERAGE(BI197:BI205)</f>
        <v>447.17457777777776</v>
      </c>
      <c r="BJ206" s="47"/>
      <c r="BL206" s="20" t="s">
        <v>9</v>
      </c>
      <c r="BM206" s="20"/>
      <c r="BN206" s="21"/>
      <c r="BO206" s="22"/>
      <c r="BP206" s="22"/>
      <c r="BQ206" s="22"/>
      <c r="BR206" s="21">
        <f>AVERAGE(BR197:BR205)</f>
        <v>821.6172177777778</v>
      </c>
      <c r="BS206" s="47"/>
      <c r="BU206" s="20" t="s">
        <v>9</v>
      </c>
      <c r="BV206" s="20"/>
      <c r="BW206" s="21"/>
      <c r="BX206" s="22"/>
      <c r="BY206" s="22"/>
      <c r="BZ206" s="22"/>
      <c r="CA206" s="21">
        <f>AVERAGE(CA197:CA205)</f>
        <v>1032.2073955555556</v>
      </c>
      <c r="CB206" s="47"/>
      <c r="CD206" s="20" t="s">
        <v>9</v>
      </c>
      <c r="CE206" s="20"/>
      <c r="CF206" s="21"/>
      <c r="CG206" s="22"/>
      <c r="CH206" s="22"/>
      <c r="CI206" s="22"/>
      <c r="CJ206" s="21">
        <f>AVERAGE(CJ197:CJ205)</f>
        <v>1304.7928400000001</v>
      </c>
      <c r="CK206" s="47"/>
      <c r="CM206" s="20" t="s">
        <v>9</v>
      </c>
      <c r="CN206" s="20"/>
      <c r="CO206" s="21"/>
      <c r="CP206" s="22"/>
      <c r="CQ206" s="22"/>
      <c r="CR206" s="22"/>
      <c r="CS206" s="21">
        <f>AVERAGE(CS197:CS205)</f>
        <v>1873.1588571428572</v>
      </c>
      <c r="CT206" s="47"/>
      <c r="CV206" s="20" t="s">
        <v>9</v>
      </c>
      <c r="CW206" s="20"/>
      <c r="CX206" s="21"/>
      <c r="CY206" s="22"/>
      <c r="CZ206" s="22"/>
      <c r="DA206" s="22"/>
      <c r="DB206" s="21">
        <f>AVERAGE(DB197:DB205)</f>
        <v>195.77376000000004</v>
      </c>
      <c r="DC206" s="47"/>
      <c r="DE206" s="20" t="s">
        <v>9</v>
      </c>
      <c r="DF206" s="20"/>
      <c r="DG206" s="21"/>
      <c r="DH206" s="22"/>
      <c r="DI206" s="22"/>
      <c r="DJ206" s="22"/>
      <c r="DK206" s="21">
        <f>AVERAGE(DK197:DK205)</f>
        <v>452.94391999999999</v>
      </c>
      <c r="DL206" s="47"/>
      <c r="DN206" s="20" t="s">
        <v>9</v>
      </c>
      <c r="DO206" s="20"/>
      <c r="DP206" s="21"/>
      <c r="DQ206" s="22"/>
      <c r="DR206" s="22"/>
      <c r="DS206" s="22"/>
      <c r="DT206" s="21">
        <f>AVERAGE(DT197:DT205)</f>
        <v>1072.3214666666668</v>
      </c>
      <c r="DU206" s="47"/>
    </row>
    <row r="207" spans="1:128" x14ac:dyDescent="0.25">
      <c r="A207" s="20" t="s">
        <v>10</v>
      </c>
      <c r="B207" s="20"/>
      <c r="C207" s="22"/>
      <c r="D207" s="22"/>
      <c r="E207" s="22"/>
      <c r="F207" s="22"/>
      <c r="G207" s="21">
        <f>AVEDEV(G197:G205)</f>
        <v>10.579753086419752</v>
      </c>
      <c r="H207" s="47"/>
      <c r="J207" s="20" t="s">
        <v>10</v>
      </c>
      <c r="K207" s="20"/>
      <c r="L207" s="22"/>
      <c r="M207" s="22"/>
      <c r="N207" s="22"/>
      <c r="O207" s="22"/>
      <c r="P207" s="21">
        <f>AVEDEV(P197:P205)</f>
        <v>6.7914439506172837</v>
      </c>
      <c r="Q207" s="47"/>
      <c r="S207" s="20" t="s">
        <v>10</v>
      </c>
      <c r="T207" s="20"/>
      <c r="U207" s="22"/>
      <c r="V207" s="22"/>
      <c r="W207" s="22"/>
      <c r="X207" s="22"/>
      <c r="Y207" s="21">
        <f>AVEDEV(Y197:Y205)</f>
        <v>41.659446913580254</v>
      </c>
      <c r="Z207" s="47"/>
      <c r="AB207" s="20" t="s">
        <v>10</v>
      </c>
      <c r="AC207" s="20"/>
      <c r="AD207" s="22"/>
      <c r="AE207" s="22"/>
      <c r="AF207" s="22"/>
      <c r="AG207" s="22"/>
      <c r="AH207" s="21">
        <f>AVEDEV(AH197:AH205)</f>
        <v>93.149872592592601</v>
      </c>
      <c r="AI207" s="47"/>
      <c r="AK207" s="20" t="s">
        <v>10</v>
      </c>
      <c r="AL207" s="20"/>
      <c r="AM207" s="22"/>
      <c r="AN207" s="22"/>
      <c r="AO207" s="22"/>
      <c r="AP207" s="22"/>
      <c r="AQ207" s="21">
        <f>AVEDEV(AQ197:AQ205)</f>
        <v>97.887496296296305</v>
      </c>
      <c r="AR207" s="47"/>
      <c r="AT207" s="20" t="s">
        <v>10</v>
      </c>
      <c r="AU207" s="20"/>
      <c r="AV207" s="22"/>
      <c r="AW207" s="22"/>
      <c r="AX207" s="22"/>
      <c r="AY207" s="22"/>
      <c r="AZ207" s="21">
        <f>AVEDEV(AZ197:AZ205)</f>
        <v>167.38023209876548</v>
      </c>
      <c r="BA207" s="47"/>
      <c r="BC207" s="20" t="s">
        <v>10</v>
      </c>
      <c r="BD207" s="20"/>
      <c r="BE207" s="22"/>
      <c r="BF207" s="22"/>
      <c r="BG207" s="22"/>
      <c r="BH207" s="22"/>
      <c r="BI207" s="21">
        <f>AVEDEV(BI197:BI205)</f>
        <v>315.07788641975304</v>
      </c>
      <c r="BJ207" s="47"/>
      <c r="BL207" s="20" t="s">
        <v>10</v>
      </c>
      <c r="BM207" s="20"/>
      <c r="BN207" s="22"/>
      <c r="BO207" s="22"/>
      <c r="BP207" s="22"/>
      <c r="BQ207" s="22"/>
      <c r="BR207" s="21">
        <f>AVEDEV(BR197:BR205)</f>
        <v>577.98202864197526</v>
      </c>
      <c r="BS207" s="47"/>
      <c r="BU207" s="20" t="s">
        <v>10</v>
      </c>
      <c r="BV207" s="20"/>
      <c r="BW207" s="22"/>
      <c r="BX207" s="22"/>
      <c r="BY207" s="22"/>
      <c r="BZ207" s="22"/>
      <c r="CA207" s="21">
        <f>AVEDEV(CA197:CA205)</f>
        <v>775.28800395061751</v>
      </c>
      <c r="CB207" s="47"/>
      <c r="CD207" s="20" t="s">
        <v>10</v>
      </c>
      <c r="CE207" s="20"/>
      <c r="CF207" s="22"/>
      <c r="CG207" s="22"/>
      <c r="CH207" s="22"/>
      <c r="CI207" s="22"/>
      <c r="CJ207" s="21">
        <f>AVEDEV(CJ197:CJ205)</f>
        <v>913.59463000000005</v>
      </c>
      <c r="CK207" s="47"/>
      <c r="CM207" s="20" t="s">
        <v>10</v>
      </c>
      <c r="CN207" s="20"/>
      <c r="CO207" s="22"/>
      <c r="CP207" s="22"/>
      <c r="CQ207" s="22"/>
      <c r="CR207" s="22"/>
      <c r="CS207" s="21">
        <f>AVEDEV(CS197:CS205)</f>
        <v>1516.4218775510203</v>
      </c>
      <c r="CT207" s="47"/>
      <c r="CV207" s="20" t="s">
        <v>10</v>
      </c>
      <c r="CW207" s="20"/>
      <c r="CX207" s="22"/>
      <c r="CY207" s="22"/>
      <c r="CZ207" s="22"/>
      <c r="DA207" s="22"/>
      <c r="DB207" s="21">
        <f>AVEDEV(DB197:DB205)</f>
        <v>261.03168000000005</v>
      </c>
      <c r="DC207" s="47"/>
      <c r="DE207" s="20" t="s">
        <v>10</v>
      </c>
      <c r="DF207" s="20"/>
      <c r="DG207" s="22"/>
      <c r="DH207" s="22"/>
      <c r="DI207" s="22"/>
      <c r="DJ207" s="22"/>
      <c r="DK207" s="21">
        <f>AVEDEV(DK197:DK205)</f>
        <v>603.92522666666662</v>
      </c>
      <c r="DL207" s="47"/>
      <c r="DN207" s="20" t="s">
        <v>10</v>
      </c>
      <c r="DO207" s="20"/>
      <c r="DP207" s="22"/>
      <c r="DQ207" s="22"/>
      <c r="DR207" s="22"/>
      <c r="DS207" s="22"/>
      <c r="DT207" s="21">
        <f>AVEDEV(DT197:DT205)</f>
        <v>1429.7619555555557</v>
      </c>
      <c r="DU207" s="47"/>
    </row>
    <row r="210" spans="1:128" x14ac:dyDescent="0.25">
      <c r="A210" s="24" t="s">
        <v>38</v>
      </c>
      <c r="B210" s="24"/>
      <c r="G210" s="5" t="s">
        <v>48</v>
      </c>
      <c r="J210" s="24" t="s">
        <v>38</v>
      </c>
      <c r="K210" s="24"/>
      <c r="P210" s="5" t="s">
        <v>47</v>
      </c>
      <c r="S210" s="24" t="s">
        <v>38</v>
      </c>
      <c r="T210" s="24"/>
      <c r="Y210" s="5" t="s">
        <v>56</v>
      </c>
      <c r="AB210" s="24" t="s">
        <v>38</v>
      </c>
      <c r="AC210" s="24"/>
      <c r="AH210" s="5" t="s">
        <v>59</v>
      </c>
      <c r="AK210" s="24" t="s">
        <v>38</v>
      </c>
      <c r="AL210" s="24"/>
      <c r="AQ210" s="5"/>
      <c r="AT210" s="24" t="s">
        <v>38</v>
      </c>
      <c r="AU210" s="24"/>
      <c r="AZ210" s="5"/>
      <c r="BC210" s="24" t="s">
        <v>38</v>
      </c>
      <c r="BD210" s="24"/>
      <c r="BL210" s="24" t="s">
        <v>38</v>
      </c>
      <c r="BM210" s="24"/>
      <c r="BR210" s="5"/>
      <c r="BU210" s="24" t="s">
        <v>38</v>
      </c>
      <c r="BV210" s="24"/>
      <c r="CA210" s="5"/>
      <c r="CD210" s="24" t="s">
        <v>38</v>
      </c>
      <c r="CE210" s="24"/>
      <c r="CJ210" s="5"/>
      <c r="CM210" s="24" t="s">
        <v>38</v>
      </c>
      <c r="CN210" s="24"/>
      <c r="CS210" s="5"/>
      <c r="CV210" s="24" t="s">
        <v>38</v>
      </c>
      <c r="CW210" s="24"/>
      <c r="DB210" s="5"/>
      <c r="DE210" s="24" t="s">
        <v>38</v>
      </c>
      <c r="DF210" s="24"/>
      <c r="DK210" s="5"/>
      <c r="DN210" s="24" t="s">
        <v>38</v>
      </c>
      <c r="DO210" s="24"/>
      <c r="DT210" s="5"/>
    </row>
    <row r="211" spans="1:128" x14ac:dyDescent="0.25">
      <c r="A211" s="25"/>
      <c r="B211" s="25"/>
      <c r="G211" s="7" t="s">
        <v>23</v>
      </c>
      <c r="J211" s="25"/>
      <c r="K211" s="25"/>
      <c r="P211" s="7" t="s">
        <v>43</v>
      </c>
      <c r="S211" s="25"/>
      <c r="T211" s="25"/>
      <c r="Y211" s="7" t="s">
        <v>50</v>
      </c>
      <c r="AB211" s="25"/>
      <c r="AC211" s="25"/>
      <c r="AH211" s="7" t="s">
        <v>58</v>
      </c>
      <c r="AK211" s="25"/>
      <c r="AL211" s="25"/>
      <c r="AQ211" s="7" t="s">
        <v>63</v>
      </c>
      <c r="AT211" s="25"/>
      <c r="AU211" s="25"/>
      <c r="AZ211" s="7" t="s">
        <v>66</v>
      </c>
      <c r="BC211" s="25"/>
      <c r="BD211" s="25"/>
      <c r="BI211" s="7" t="s">
        <v>69</v>
      </c>
      <c r="BL211" s="25"/>
      <c r="BM211" s="25"/>
      <c r="BR211" s="7" t="s">
        <v>71</v>
      </c>
      <c r="BU211" s="25"/>
      <c r="BV211" s="25"/>
      <c r="CA211" s="7" t="s">
        <v>75</v>
      </c>
      <c r="CD211" s="25"/>
      <c r="CE211" s="25"/>
      <c r="CJ211" s="7" t="s">
        <v>77</v>
      </c>
      <c r="CM211" s="25"/>
      <c r="CN211" s="25"/>
      <c r="CS211" s="7" t="s">
        <v>81</v>
      </c>
      <c r="CV211" s="25"/>
      <c r="CW211" s="25"/>
      <c r="DB211" s="7" t="s">
        <v>84</v>
      </c>
      <c r="DE211" s="25"/>
      <c r="DF211" s="25"/>
      <c r="DK211" s="7" t="s">
        <v>86</v>
      </c>
      <c r="DN211" s="25"/>
      <c r="DO211" s="25"/>
      <c r="DT211" s="7" t="s">
        <v>88</v>
      </c>
    </row>
    <row r="212" spans="1:128" x14ac:dyDescent="0.25">
      <c r="A212" s="24" t="s">
        <v>39</v>
      </c>
      <c r="B212" s="24"/>
      <c r="J212" s="24" t="s">
        <v>39</v>
      </c>
      <c r="K212" s="24"/>
      <c r="S212" s="24" t="s">
        <v>39</v>
      </c>
      <c r="T212" s="24"/>
      <c r="AB212" s="24" t="s">
        <v>39</v>
      </c>
      <c r="AC212" s="24"/>
      <c r="AK212" s="24" t="s">
        <v>39</v>
      </c>
      <c r="AL212" s="24"/>
      <c r="AT212" s="24" t="s">
        <v>39</v>
      </c>
      <c r="AU212" s="24"/>
      <c r="BC212" s="24" t="s">
        <v>39</v>
      </c>
      <c r="BD212" s="24"/>
      <c r="BL212" s="24" t="s">
        <v>39</v>
      </c>
      <c r="BM212" s="24"/>
      <c r="BU212" s="24" t="s">
        <v>39</v>
      </c>
      <c r="BV212" s="24"/>
      <c r="CD212" s="24" t="s">
        <v>39</v>
      </c>
      <c r="CE212" s="24"/>
      <c r="CM212" s="24" t="s">
        <v>39</v>
      </c>
      <c r="CN212" s="24"/>
      <c r="CV212" s="24" t="s">
        <v>39</v>
      </c>
      <c r="CW212" s="24"/>
      <c r="DE212" s="24" t="s">
        <v>39</v>
      </c>
      <c r="DF212" s="24"/>
      <c r="DN212" s="24" t="s">
        <v>39</v>
      </c>
      <c r="DO212" s="24"/>
    </row>
    <row r="213" spans="1:128" x14ac:dyDescent="0.25">
      <c r="A213" s="25"/>
      <c r="B213" s="25"/>
      <c r="C213" s="9">
        <v>45810</v>
      </c>
      <c r="J213" s="25"/>
      <c r="K213" s="25"/>
      <c r="L213" s="9">
        <v>45813</v>
      </c>
      <c r="S213" s="25"/>
      <c r="T213" s="25"/>
      <c r="U213" s="9">
        <v>45816</v>
      </c>
      <c r="AB213" s="25"/>
      <c r="AC213" s="25"/>
      <c r="AD213" s="9">
        <v>45819</v>
      </c>
      <c r="AE213" s="9"/>
      <c r="AF213" s="9"/>
      <c r="AG213" s="9"/>
      <c r="AK213" s="25"/>
      <c r="AL213" s="25"/>
      <c r="AM213" s="9">
        <v>45822</v>
      </c>
      <c r="AT213" s="25"/>
      <c r="AU213" s="25"/>
      <c r="AV213" s="9">
        <v>45825</v>
      </c>
      <c r="BC213" s="25"/>
      <c r="BD213" s="25"/>
      <c r="BE213" s="9">
        <v>45828</v>
      </c>
      <c r="BF213" s="9"/>
      <c r="BG213" s="9"/>
      <c r="BH213" s="9"/>
      <c r="BL213" s="25"/>
      <c r="BM213" s="25"/>
      <c r="BN213" s="9">
        <v>45832</v>
      </c>
      <c r="BO213" s="9"/>
      <c r="BP213" s="9"/>
      <c r="BQ213" s="9"/>
      <c r="BU213" s="25"/>
      <c r="BV213" s="25"/>
      <c r="BW213" s="9">
        <v>45836</v>
      </c>
      <c r="CD213" s="25"/>
      <c r="CE213" s="25"/>
      <c r="CF213" s="9">
        <v>45839</v>
      </c>
      <c r="CM213" s="25"/>
      <c r="CN213" s="25"/>
      <c r="CO213" s="9">
        <v>45844</v>
      </c>
      <c r="CV213" s="25"/>
      <c r="CW213" s="25"/>
      <c r="CX213" s="9">
        <v>45849</v>
      </c>
      <c r="DE213" s="25"/>
      <c r="DF213" s="25"/>
      <c r="DG213" s="9">
        <v>45855</v>
      </c>
      <c r="DN213" s="25"/>
      <c r="DO213" s="25"/>
      <c r="DP213" s="9">
        <v>45859</v>
      </c>
    </row>
    <row r="214" spans="1:128" x14ac:dyDescent="0.25">
      <c r="A214" s="26"/>
      <c r="B214" s="26"/>
      <c r="C214" s="11"/>
      <c r="D214" s="11" t="s">
        <v>3</v>
      </c>
      <c r="E214" s="11" t="s">
        <v>4</v>
      </c>
      <c r="F214" s="11" t="s">
        <v>5</v>
      </c>
      <c r="G214" s="27" t="s">
        <v>6</v>
      </c>
      <c r="H214" s="28" t="s">
        <v>7</v>
      </c>
      <c r="J214" s="26"/>
      <c r="K214" s="26"/>
      <c r="L214" s="11"/>
      <c r="M214" s="11" t="s">
        <v>3</v>
      </c>
      <c r="N214" s="11" t="s">
        <v>4</v>
      </c>
      <c r="O214" s="11" t="s">
        <v>5</v>
      </c>
      <c r="P214" s="27" t="s">
        <v>6</v>
      </c>
      <c r="Q214" s="28" t="s">
        <v>7</v>
      </c>
      <c r="S214" s="26"/>
      <c r="T214" s="26"/>
      <c r="U214" s="11"/>
      <c r="V214" s="11" t="s">
        <v>3</v>
      </c>
      <c r="W214" s="11" t="s">
        <v>4</v>
      </c>
      <c r="X214" s="11" t="s">
        <v>5</v>
      </c>
      <c r="Y214" s="27" t="s">
        <v>6</v>
      </c>
      <c r="Z214" s="28" t="s">
        <v>7</v>
      </c>
      <c r="AB214" s="26"/>
      <c r="AC214" s="26"/>
      <c r="AD214" s="11"/>
      <c r="AE214" s="11" t="s">
        <v>3</v>
      </c>
      <c r="AF214" s="11" t="s">
        <v>4</v>
      </c>
      <c r="AG214" s="11" t="s">
        <v>5</v>
      </c>
      <c r="AH214" s="27" t="s">
        <v>6</v>
      </c>
      <c r="AI214" s="28" t="s">
        <v>7</v>
      </c>
      <c r="AK214" s="26"/>
      <c r="AL214" s="26"/>
      <c r="AM214" s="11"/>
      <c r="AN214" s="11" t="s">
        <v>3</v>
      </c>
      <c r="AO214" s="11" t="s">
        <v>4</v>
      </c>
      <c r="AP214" s="11" t="s">
        <v>5</v>
      </c>
      <c r="AQ214" s="27" t="s">
        <v>6</v>
      </c>
      <c r="AR214" s="28" t="s">
        <v>7</v>
      </c>
      <c r="AT214" s="26"/>
      <c r="AU214" s="26"/>
      <c r="AV214" s="11"/>
      <c r="AW214" s="11" t="s">
        <v>3</v>
      </c>
      <c r="AX214" s="11" t="s">
        <v>4</v>
      </c>
      <c r="AY214" s="11" t="s">
        <v>5</v>
      </c>
      <c r="AZ214" s="27" t="s">
        <v>6</v>
      </c>
      <c r="BA214" s="28" t="s">
        <v>7</v>
      </c>
      <c r="BC214" s="26"/>
      <c r="BD214" s="26"/>
      <c r="BE214" s="11"/>
      <c r="BF214" s="11" t="s">
        <v>3</v>
      </c>
      <c r="BG214" s="11" t="s">
        <v>4</v>
      </c>
      <c r="BH214" s="11" t="s">
        <v>5</v>
      </c>
      <c r="BI214" s="27" t="s">
        <v>6</v>
      </c>
      <c r="BJ214" s="28" t="s">
        <v>7</v>
      </c>
      <c r="BL214" s="26"/>
      <c r="BM214" s="26"/>
      <c r="BN214" s="11"/>
      <c r="BO214" s="11" t="s">
        <v>3</v>
      </c>
      <c r="BP214" s="11" t="s">
        <v>4</v>
      </c>
      <c r="BQ214" s="11" t="s">
        <v>5</v>
      </c>
      <c r="BR214" s="27" t="s">
        <v>6</v>
      </c>
      <c r="BS214" s="28"/>
      <c r="BU214" s="26"/>
      <c r="BV214" s="26"/>
      <c r="BW214" s="11"/>
      <c r="BX214" s="11" t="s">
        <v>3</v>
      </c>
      <c r="BY214" s="11" t="s">
        <v>4</v>
      </c>
      <c r="BZ214" s="11" t="s">
        <v>5</v>
      </c>
      <c r="CA214" s="27" t="s">
        <v>6</v>
      </c>
      <c r="CB214" s="28"/>
      <c r="CD214" s="26"/>
      <c r="CE214" s="26"/>
      <c r="CF214" s="11"/>
      <c r="CG214" s="11" t="s">
        <v>3</v>
      </c>
      <c r="CH214" s="11" t="s">
        <v>4</v>
      </c>
      <c r="CI214" s="11" t="s">
        <v>5</v>
      </c>
      <c r="CJ214" s="27" t="s">
        <v>6</v>
      </c>
      <c r="CK214" s="28"/>
      <c r="CM214" s="26"/>
      <c r="CN214" s="26"/>
      <c r="CO214" s="11"/>
      <c r="CP214" s="11" t="s">
        <v>3</v>
      </c>
      <c r="CQ214" s="11" t="s">
        <v>4</v>
      </c>
      <c r="CR214" s="11" t="s">
        <v>5</v>
      </c>
      <c r="CS214" s="27" t="s">
        <v>6</v>
      </c>
      <c r="CT214" s="28"/>
      <c r="CV214" s="26"/>
      <c r="CW214" s="26"/>
      <c r="CX214" s="11"/>
      <c r="CY214" s="11" t="s">
        <v>3</v>
      </c>
      <c r="CZ214" s="11" t="s">
        <v>4</v>
      </c>
      <c r="DA214" s="11" t="s">
        <v>5</v>
      </c>
      <c r="DB214" s="27" t="s">
        <v>6</v>
      </c>
      <c r="DC214" s="28"/>
      <c r="DE214" s="26"/>
      <c r="DF214" s="26"/>
      <c r="DG214" s="11"/>
      <c r="DH214" s="11" t="s">
        <v>3</v>
      </c>
      <c r="DI214" s="11" t="s">
        <v>4</v>
      </c>
      <c r="DJ214" s="11" t="s">
        <v>5</v>
      </c>
      <c r="DK214" s="27" t="s">
        <v>6</v>
      </c>
      <c r="DL214" s="28"/>
      <c r="DN214" s="26"/>
      <c r="DO214" s="26"/>
      <c r="DP214" s="11"/>
      <c r="DQ214" s="11" t="s">
        <v>3</v>
      </c>
      <c r="DR214" s="11" t="s">
        <v>4</v>
      </c>
      <c r="DS214" s="11" t="s">
        <v>5</v>
      </c>
      <c r="DT214" s="27" t="s">
        <v>6</v>
      </c>
      <c r="DU214" s="28"/>
    </row>
    <row r="215" spans="1:128" x14ac:dyDescent="0.25">
      <c r="A215" s="26">
        <v>1</v>
      </c>
      <c r="B215" s="26">
        <v>1</v>
      </c>
      <c r="C215" s="11"/>
      <c r="D215" s="18">
        <v>4</v>
      </c>
      <c r="E215" s="15">
        <v>4</v>
      </c>
      <c r="F215" s="15">
        <v>3</v>
      </c>
      <c r="G215" s="30">
        <f>D215*E215*F215*0.52</f>
        <v>24.96</v>
      </c>
      <c r="H215" s="30"/>
      <c r="J215" s="26">
        <v>1</v>
      </c>
      <c r="K215" s="26">
        <v>1</v>
      </c>
      <c r="L215" s="11"/>
      <c r="M215" s="18">
        <v>5.9</v>
      </c>
      <c r="N215" s="15">
        <v>4.8</v>
      </c>
      <c r="O215" s="15">
        <v>2.7</v>
      </c>
      <c r="P215" s="30">
        <f>M215*N215*O215*0.52</f>
        <v>39.761280000000006</v>
      </c>
      <c r="Q215" s="30"/>
      <c r="S215" s="26">
        <v>1</v>
      </c>
      <c r="T215" s="26">
        <v>1</v>
      </c>
      <c r="U215" s="11"/>
      <c r="V215" s="18">
        <v>9.1999999999999993</v>
      </c>
      <c r="W215" s="15">
        <v>6.8</v>
      </c>
      <c r="X215" s="15">
        <v>4.7</v>
      </c>
      <c r="Y215" s="30">
        <f>V215*W215*X215*0.52</f>
        <v>152.89663999999999</v>
      </c>
      <c r="Z215" s="30"/>
      <c r="AB215" s="26">
        <v>1</v>
      </c>
      <c r="AC215" s="26">
        <v>1</v>
      </c>
      <c r="AD215" s="11"/>
      <c r="AE215" s="18">
        <v>10.3</v>
      </c>
      <c r="AF215" s="15">
        <v>8</v>
      </c>
      <c r="AG215" s="15">
        <v>6.8</v>
      </c>
      <c r="AH215" s="30">
        <f>AE215*AF215*AG215*0.52</f>
        <v>291.36640000000006</v>
      </c>
      <c r="AI215" s="30"/>
      <c r="AK215" s="26">
        <v>1</v>
      </c>
      <c r="AL215" s="26">
        <v>1</v>
      </c>
      <c r="AM215" s="11"/>
      <c r="AN215" s="18">
        <v>9</v>
      </c>
      <c r="AO215" s="15">
        <v>10</v>
      </c>
      <c r="AP215" s="15">
        <v>7.7</v>
      </c>
      <c r="AQ215" s="30">
        <f>AN215*AO215*AP215*0.52</f>
        <v>360.36</v>
      </c>
      <c r="AR215" s="30"/>
      <c r="AT215" s="26">
        <v>1</v>
      </c>
      <c r="AU215" s="26">
        <v>1</v>
      </c>
      <c r="AV215" s="11"/>
      <c r="AW215" s="18">
        <v>11.8</v>
      </c>
      <c r="AX215" s="15">
        <v>12</v>
      </c>
      <c r="AY215" s="15">
        <v>8</v>
      </c>
      <c r="AZ215" s="30">
        <f>AW215*AX215*AY215*0.52</f>
        <v>589.05600000000015</v>
      </c>
      <c r="BA215" s="30"/>
      <c r="BC215" s="26">
        <v>1</v>
      </c>
      <c r="BD215" s="26">
        <v>1</v>
      </c>
      <c r="BE215" s="11"/>
      <c r="BF215" s="18">
        <v>14.9</v>
      </c>
      <c r="BG215" s="15">
        <v>15</v>
      </c>
      <c r="BH215" s="15">
        <v>10.5</v>
      </c>
      <c r="BI215" s="30">
        <f>BF215*BG215*BH215*0.52</f>
        <v>1220.31</v>
      </c>
      <c r="BJ215" s="30"/>
      <c r="BL215" s="26">
        <v>1</v>
      </c>
      <c r="BM215" s="26">
        <v>1</v>
      </c>
      <c r="BN215" s="11"/>
      <c r="BO215" s="18">
        <v>15</v>
      </c>
      <c r="BP215" s="15">
        <v>18</v>
      </c>
      <c r="BQ215" s="15">
        <v>12.8</v>
      </c>
      <c r="BR215" s="30">
        <f>BO215*BP215*BQ215*0.52</f>
        <v>1797.1200000000001</v>
      </c>
      <c r="BS215" s="30"/>
      <c r="BU215" s="26">
        <v>1</v>
      </c>
      <c r="BV215" s="26">
        <v>1</v>
      </c>
      <c r="BW215" s="11"/>
      <c r="BX215" s="18">
        <v>19.3</v>
      </c>
      <c r="BY215" s="15">
        <v>24.5</v>
      </c>
      <c r="BZ215" s="15">
        <v>14.9</v>
      </c>
      <c r="CA215" s="76">
        <f>BX215*BY215*BZ215*0.52</f>
        <v>3663.6418000000003</v>
      </c>
      <c r="CB215" s="30" t="s">
        <v>74</v>
      </c>
      <c r="CD215" s="26">
        <v>1</v>
      </c>
      <c r="CE215" s="26">
        <v>1</v>
      </c>
      <c r="CF215" s="11"/>
      <c r="CG215" s="80"/>
      <c r="CH215" s="77"/>
      <c r="CI215" s="77"/>
      <c r="CJ215" s="76"/>
      <c r="CK215" s="30" t="s">
        <v>74</v>
      </c>
      <c r="CM215" s="26">
        <v>1</v>
      </c>
      <c r="CN215" s="26">
        <v>1</v>
      </c>
      <c r="CO215" s="11"/>
      <c r="CP215" s="80"/>
      <c r="CQ215" s="77"/>
      <c r="CR215" s="77"/>
      <c r="CS215" s="76"/>
      <c r="CT215" s="30" t="s">
        <v>74</v>
      </c>
      <c r="CV215" s="26">
        <v>1</v>
      </c>
      <c r="CW215" s="26">
        <v>1</v>
      </c>
      <c r="CX215" s="11"/>
      <c r="CY215" s="80"/>
      <c r="CZ215" s="77"/>
      <c r="DA215" s="77"/>
      <c r="DB215" s="76"/>
      <c r="DC215" s="30" t="s">
        <v>74</v>
      </c>
      <c r="DE215" s="26">
        <v>1</v>
      </c>
      <c r="DF215" s="26">
        <v>1</v>
      </c>
      <c r="DG215" s="11"/>
      <c r="DH215" s="80"/>
      <c r="DI215" s="77"/>
      <c r="DJ215" s="77"/>
      <c r="DK215" s="76"/>
      <c r="DL215" s="30" t="s">
        <v>74</v>
      </c>
      <c r="DN215" s="26">
        <v>1</v>
      </c>
      <c r="DO215" s="26">
        <v>1</v>
      </c>
      <c r="DP215" s="11"/>
      <c r="DQ215" s="80"/>
      <c r="DR215" s="77"/>
      <c r="DS215" s="77"/>
      <c r="DT215" s="76"/>
      <c r="DU215" s="30" t="s">
        <v>74</v>
      </c>
      <c r="DX215">
        <v>29</v>
      </c>
    </row>
    <row r="216" spans="1:128" x14ac:dyDescent="0.25">
      <c r="A216" s="26">
        <v>2</v>
      </c>
      <c r="B216" s="26">
        <v>2</v>
      </c>
      <c r="C216" s="11"/>
      <c r="D216" s="15">
        <v>3</v>
      </c>
      <c r="E216" s="15">
        <v>3</v>
      </c>
      <c r="F216" s="15">
        <v>3</v>
      </c>
      <c r="G216" s="30">
        <f t="shared" ref="G216:G223" si="159">D216*E216*F216*0.52</f>
        <v>14.040000000000001</v>
      </c>
      <c r="H216" s="30"/>
      <c r="J216" s="26">
        <v>2</v>
      </c>
      <c r="K216" s="26">
        <v>2</v>
      </c>
      <c r="L216" s="11"/>
      <c r="M216" s="15">
        <v>6.2</v>
      </c>
      <c r="N216" s="15">
        <v>4.7</v>
      </c>
      <c r="O216" s="15">
        <v>2.7</v>
      </c>
      <c r="P216" s="30">
        <f t="shared" ref="P216:P223" si="160">M216*N216*O216*0.52</f>
        <v>40.912560000000006</v>
      </c>
      <c r="Q216" s="30"/>
      <c r="S216" s="26">
        <v>2</v>
      </c>
      <c r="T216" s="26">
        <v>2</v>
      </c>
      <c r="U216" s="11"/>
      <c r="V216" s="15">
        <v>10</v>
      </c>
      <c r="W216" s="15">
        <v>6.7</v>
      </c>
      <c r="X216" s="15">
        <v>4.0999999999999996</v>
      </c>
      <c r="Y216" s="30">
        <f t="shared" ref="Y216:Y223" si="161">V216*W216*X216*0.52</f>
        <v>142.84399999999999</v>
      </c>
      <c r="Z216" s="30"/>
      <c r="AB216" s="26">
        <v>2</v>
      </c>
      <c r="AC216" s="26">
        <v>2</v>
      </c>
      <c r="AD216" s="11"/>
      <c r="AE216" s="15">
        <v>6</v>
      </c>
      <c r="AF216" s="15">
        <v>13</v>
      </c>
      <c r="AG216" s="15">
        <v>4.8</v>
      </c>
      <c r="AH216" s="30">
        <f t="shared" ref="AH216:AH223" si="162">AE216*AF216*AG216*0.52</f>
        <v>194.68799999999999</v>
      </c>
      <c r="AI216" s="30"/>
      <c r="AK216" s="26">
        <v>2</v>
      </c>
      <c r="AL216" s="26">
        <v>2</v>
      </c>
      <c r="AM216" s="11"/>
      <c r="AN216" s="15">
        <v>8.3000000000000007</v>
      </c>
      <c r="AO216" s="15">
        <v>7.2</v>
      </c>
      <c r="AP216" s="15">
        <v>5.4</v>
      </c>
      <c r="AQ216" s="30">
        <f t="shared" ref="AQ216:AQ223" si="163">AN216*AO216*AP216*0.52</f>
        <v>167.80608000000004</v>
      </c>
      <c r="AR216" s="30"/>
      <c r="AT216" s="26">
        <v>2</v>
      </c>
      <c r="AU216" s="26">
        <v>2</v>
      </c>
      <c r="AV216" s="11"/>
      <c r="AW216" s="15">
        <v>17</v>
      </c>
      <c r="AX216" s="15">
        <v>10</v>
      </c>
      <c r="AY216" s="15">
        <v>7.1</v>
      </c>
      <c r="AZ216" s="30">
        <f t="shared" ref="AZ216:AZ223" si="164">AW216*AX216*AY216*0.52</f>
        <v>627.64</v>
      </c>
      <c r="BA216" s="30"/>
      <c r="BC216" s="26">
        <v>2</v>
      </c>
      <c r="BD216" s="26">
        <v>2</v>
      </c>
      <c r="BE216" s="11"/>
      <c r="BF216" s="15">
        <v>21.6</v>
      </c>
      <c r="BG216" s="15">
        <v>14.4</v>
      </c>
      <c r="BH216" s="15">
        <v>10.6</v>
      </c>
      <c r="BI216" s="30">
        <f t="shared" ref="BI216:BI223" si="165">BF216*BG216*BH216*0.52</f>
        <v>1714.4524799999999</v>
      </c>
      <c r="BJ216" s="30"/>
      <c r="BL216" s="26">
        <v>2</v>
      </c>
      <c r="BM216" s="26">
        <v>2</v>
      </c>
      <c r="BN216" s="11"/>
      <c r="BO216" s="15">
        <v>26</v>
      </c>
      <c r="BP216" s="15">
        <v>18</v>
      </c>
      <c r="BQ216" s="15">
        <v>17</v>
      </c>
      <c r="BR216" s="76">
        <f t="shared" ref="BR216:BR223" si="166">BO216*BP216*BQ216*0.52</f>
        <v>4137.12</v>
      </c>
      <c r="BS216" s="30" t="s">
        <v>72</v>
      </c>
      <c r="BU216" s="26">
        <v>2</v>
      </c>
      <c r="BV216" s="26">
        <v>2</v>
      </c>
      <c r="BW216" s="11"/>
      <c r="BX216" s="77"/>
      <c r="BY216" s="77"/>
      <c r="BZ216" s="77"/>
      <c r="CA216" s="76"/>
      <c r="CB216" s="30" t="s">
        <v>72</v>
      </c>
      <c r="CD216" s="26">
        <v>2</v>
      </c>
      <c r="CE216" s="26">
        <v>2</v>
      </c>
      <c r="CF216" s="11"/>
      <c r="CG216" s="77"/>
      <c r="CH216" s="77"/>
      <c r="CI216" s="77"/>
      <c r="CJ216" s="76"/>
      <c r="CK216" s="30" t="s">
        <v>72</v>
      </c>
      <c r="CM216" s="26">
        <v>2</v>
      </c>
      <c r="CN216" s="26">
        <v>2</v>
      </c>
      <c r="CO216" s="11"/>
      <c r="CP216" s="77"/>
      <c r="CQ216" s="77"/>
      <c r="CR216" s="77"/>
      <c r="CS216" s="76"/>
      <c r="CT216" s="30" t="s">
        <v>72</v>
      </c>
      <c r="CV216" s="26">
        <v>2</v>
      </c>
      <c r="CW216" s="26">
        <v>2</v>
      </c>
      <c r="CX216" s="11"/>
      <c r="CY216" s="77"/>
      <c r="CZ216" s="77"/>
      <c r="DA216" s="77"/>
      <c r="DB216" s="76"/>
      <c r="DC216" s="30" t="s">
        <v>72</v>
      </c>
      <c r="DE216" s="26">
        <v>2</v>
      </c>
      <c r="DF216" s="26">
        <v>2</v>
      </c>
      <c r="DG216" s="11"/>
      <c r="DH216" s="77"/>
      <c r="DI216" s="77"/>
      <c r="DJ216" s="77"/>
      <c r="DK216" s="76"/>
      <c r="DL216" s="30" t="s">
        <v>72</v>
      </c>
      <c r="DN216" s="26">
        <v>2</v>
      </c>
      <c r="DO216" s="26">
        <v>2</v>
      </c>
      <c r="DP216" s="11"/>
      <c r="DQ216" s="77"/>
      <c r="DR216" s="77"/>
      <c r="DS216" s="77"/>
      <c r="DT216" s="76"/>
      <c r="DU216" s="30" t="s">
        <v>72</v>
      </c>
      <c r="DX216">
        <v>29</v>
      </c>
    </row>
    <row r="217" spans="1:128" x14ac:dyDescent="0.25">
      <c r="A217" s="26">
        <v>3</v>
      </c>
      <c r="B217" s="26">
        <v>3</v>
      </c>
      <c r="C217" s="11"/>
      <c r="D217" s="18">
        <v>4</v>
      </c>
      <c r="E217" s="15">
        <v>4</v>
      </c>
      <c r="F217" s="15">
        <v>3</v>
      </c>
      <c r="G217" s="30">
        <f t="shared" si="159"/>
        <v>24.96</v>
      </c>
      <c r="H217" s="30"/>
      <c r="J217" s="26">
        <v>3</v>
      </c>
      <c r="K217" s="26">
        <v>3</v>
      </c>
      <c r="L217" s="11"/>
      <c r="M217" s="18">
        <v>5.5</v>
      </c>
      <c r="N217" s="15">
        <v>5.3</v>
      </c>
      <c r="O217" s="15">
        <v>2.6</v>
      </c>
      <c r="P217" s="30">
        <f t="shared" si="160"/>
        <v>39.410799999999995</v>
      </c>
      <c r="Q217" s="30"/>
      <c r="S217" s="26">
        <v>3</v>
      </c>
      <c r="T217" s="26">
        <v>3</v>
      </c>
      <c r="U217" s="11"/>
      <c r="V217" s="18">
        <v>7.7</v>
      </c>
      <c r="W217" s="15">
        <v>7.7</v>
      </c>
      <c r="X217" s="15">
        <v>5</v>
      </c>
      <c r="Y217" s="30">
        <f t="shared" si="161"/>
        <v>154.15400000000002</v>
      </c>
      <c r="Z217" s="30"/>
      <c r="AB217" s="26">
        <v>3</v>
      </c>
      <c r="AC217" s="26">
        <v>3</v>
      </c>
      <c r="AD217" s="11"/>
      <c r="AE217" s="18">
        <v>9.9</v>
      </c>
      <c r="AF217" s="15">
        <v>10</v>
      </c>
      <c r="AG217" s="15">
        <v>6.6</v>
      </c>
      <c r="AH217" s="30">
        <f t="shared" si="162"/>
        <v>339.76799999999997</v>
      </c>
      <c r="AI217" s="30"/>
      <c r="AK217" s="26">
        <v>3</v>
      </c>
      <c r="AL217" s="26">
        <v>3</v>
      </c>
      <c r="AM217" s="11"/>
      <c r="AN217" s="18">
        <v>10</v>
      </c>
      <c r="AO217" s="15">
        <v>10</v>
      </c>
      <c r="AP217" s="15">
        <v>6.9</v>
      </c>
      <c r="AQ217" s="30">
        <f t="shared" si="163"/>
        <v>358.8</v>
      </c>
      <c r="AR217" s="30"/>
      <c r="AT217" s="26">
        <v>3</v>
      </c>
      <c r="AU217" s="26">
        <v>3</v>
      </c>
      <c r="AV217" s="11"/>
      <c r="AW217" s="18">
        <v>11</v>
      </c>
      <c r="AX217" s="15">
        <v>11</v>
      </c>
      <c r="AY217" s="15">
        <v>8</v>
      </c>
      <c r="AZ217" s="30">
        <f t="shared" si="164"/>
        <v>503.36</v>
      </c>
      <c r="BA217" s="30"/>
      <c r="BC217" s="26">
        <v>3</v>
      </c>
      <c r="BD217" s="26">
        <v>3</v>
      </c>
      <c r="BE217" s="11"/>
      <c r="BF217" s="18">
        <v>13</v>
      </c>
      <c r="BG217" s="15">
        <v>12.3</v>
      </c>
      <c r="BH217" s="15">
        <v>9.6</v>
      </c>
      <c r="BI217" s="30">
        <f t="shared" si="165"/>
        <v>798.22080000000005</v>
      </c>
      <c r="BJ217" s="30"/>
      <c r="BL217" s="26">
        <v>3</v>
      </c>
      <c r="BM217" s="26">
        <v>3</v>
      </c>
      <c r="BN217" s="11"/>
      <c r="BO217" s="18">
        <v>14</v>
      </c>
      <c r="BP217" s="15">
        <v>14</v>
      </c>
      <c r="BQ217" s="15">
        <v>12</v>
      </c>
      <c r="BR217" s="30">
        <f t="shared" si="166"/>
        <v>1223.04</v>
      </c>
      <c r="BS217" s="30"/>
      <c r="BU217" s="26">
        <v>3</v>
      </c>
      <c r="BV217" s="26">
        <v>3</v>
      </c>
      <c r="BW217" s="11"/>
      <c r="BX217" s="18">
        <v>19</v>
      </c>
      <c r="BY217" s="15">
        <v>19</v>
      </c>
      <c r="BZ217" s="15">
        <v>16</v>
      </c>
      <c r="CA217" s="76">
        <f t="shared" ref="CA217:CA222" si="167">BX217*BY217*BZ217*0.52</f>
        <v>3003.52</v>
      </c>
      <c r="CB217" s="30" t="s">
        <v>74</v>
      </c>
      <c r="CD217" s="26">
        <v>3</v>
      </c>
      <c r="CE217" s="26">
        <v>3</v>
      </c>
      <c r="CF217" s="11"/>
      <c r="CG217" s="80"/>
      <c r="CH217" s="77"/>
      <c r="CI217" s="77"/>
      <c r="CJ217" s="76"/>
      <c r="CK217" s="30" t="s">
        <v>74</v>
      </c>
      <c r="CM217" s="26">
        <v>3</v>
      </c>
      <c r="CN217" s="26">
        <v>3</v>
      </c>
      <c r="CO217" s="11"/>
      <c r="CP217" s="80"/>
      <c r="CQ217" s="77"/>
      <c r="CR217" s="77"/>
      <c r="CS217" s="76"/>
      <c r="CT217" s="30" t="s">
        <v>74</v>
      </c>
      <c r="CV217" s="26">
        <v>3</v>
      </c>
      <c r="CW217" s="26">
        <v>3</v>
      </c>
      <c r="CX217" s="11"/>
      <c r="CY217" s="80"/>
      <c r="CZ217" s="77"/>
      <c r="DA217" s="77"/>
      <c r="DB217" s="76"/>
      <c r="DC217" s="30" t="s">
        <v>74</v>
      </c>
      <c r="DE217" s="26">
        <v>3</v>
      </c>
      <c r="DF217" s="26">
        <v>3</v>
      </c>
      <c r="DG217" s="11"/>
      <c r="DH217" s="80"/>
      <c r="DI217" s="77"/>
      <c r="DJ217" s="77"/>
      <c r="DK217" s="76"/>
      <c r="DL217" s="30" t="s">
        <v>74</v>
      </c>
      <c r="DN217" s="26">
        <v>3</v>
      </c>
      <c r="DO217" s="26">
        <v>3</v>
      </c>
      <c r="DP217" s="11"/>
      <c r="DQ217" s="80"/>
      <c r="DR217" s="77"/>
      <c r="DS217" s="77"/>
      <c r="DT217" s="76"/>
      <c r="DU217" s="30" t="s">
        <v>74</v>
      </c>
      <c r="DX217">
        <v>29</v>
      </c>
    </row>
    <row r="218" spans="1:128" x14ac:dyDescent="0.25">
      <c r="A218" s="26">
        <v>4</v>
      </c>
      <c r="B218" s="26">
        <v>4</v>
      </c>
      <c r="C218" s="11"/>
      <c r="D218" s="18">
        <v>4</v>
      </c>
      <c r="E218" s="15">
        <v>4</v>
      </c>
      <c r="F218" s="15">
        <v>2.5</v>
      </c>
      <c r="G218" s="30">
        <f t="shared" si="159"/>
        <v>20.8</v>
      </c>
      <c r="H218" s="30"/>
      <c r="J218" s="26">
        <v>4</v>
      </c>
      <c r="K218" s="26">
        <v>4</v>
      </c>
      <c r="L218" s="11"/>
      <c r="M218" s="18">
        <v>5.5</v>
      </c>
      <c r="N218" s="15">
        <v>5.5</v>
      </c>
      <c r="O218" s="15">
        <v>2.7</v>
      </c>
      <c r="P218" s="30">
        <f t="shared" si="160"/>
        <v>42.471000000000011</v>
      </c>
      <c r="Q218" s="30"/>
      <c r="S218" s="26">
        <v>4</v>
      </c>
      <c r="T218" s="26">
        <v>4</v>
      </c>
      <c r="U218" s="11"/>
      <c r="V218" s="18">
        <v>9.8000000000000007</v>
      </c>
      <c r="W218" s="15">
        <v>8.5</v>
      </c>
      <c r="X218" s="15">
        <v>4.5</v>
      </c>
      <c r="Y218" s="30">
        <f t="shared" si="161"/>
        <v>194.92200000000003</v>
      </c>
      <c r="Z218" s="30"/>
      <c r="AB218" s="26">
        <v>4</v>
      </c>
      <c r="AC218" s="26">
        <v>4</v>
      </c>
      <c r="AD218" s="11"/>
      <c r="AE218" s="18">
        <v>10</v>
      </c>
      <c r="AF218" s="15">
        <v>10</v>
      </c>
      <c r="AG218" s="15">
        <v>7</v>
      </c>
      <c r="AH218" s="30">
        <f t="shared" si="162"/>
        <v>364</v>
      </c>
      <c r="AI218" s="30"/>
      <c r="AK218" s="26">
        <v>4</v>
      </c>
      <c r="AL218" s="26">
        <v>4</v>
      </c>
      <c r="AM218" s="11"/>
      <c r="AN218" s="18">
        <v>11</v>
      </c>
      <c r="AO218" s="15">
        <v>9.6</v>
      </c>
      <c r="AP218" s="15">
        <v>6.8</v>
      </c>
      <c r="AQ218" s="30">
        <f t="shared" si="163"/>
        <v>373.40159999999997</v>
      </c>
      <c r="AR218" s="30"/>
      <c r="AT218" s="26">
        <v>4</v>
      </c>
      <c r="AU218" s="26">
        <v>4</v>
      </c>
      <c r="AV218" s="11"/>
      <c r="AW218" s="18">
        <v>12.2</v>
      </c>
      <c r="AX218" s="15">
        <v>13.5</v>
      </c>
      <c r="AY218" s="15">
        <v>7</v>
      </c>
      <c r="AZ218" s="30">
        <f t="shared" si="164"/>
        <v>599.50799999999992</v>
      </c>
      <c r="BA218" s="30"/>
      <c r="BC218" s="26">
        <v>4</v>
      </c>
      <c r="BD218" s="26">
        <v>4</v>
      </c>
      <c r="BE218" s="11"/>
      <c r="BF218" s="18">
        <v>15</v>
      </c>
      <c r="BG218" s="15">
        <v>15</v>
      </c>
      <c r="BH218" s="15">
        <v>10</v>
      </c>
      <c r="BI218" s="30">
        <f t="shared" si="165"/>
        <v>1170</v>
      </c>
      <c r="BJ218" s="30"/>
      <c r="BL218" s="26">
        <v>4</v>
      </c>
      <c r="BM218" s="26">
        <v>4</v>
      </c>
      <c r="BN218" s="11"/>
      <c r="BO218" s="18">
        <v>21</v>
      </c>
      <c r="BP218" s="15">
        <v>21</v>
      </c>
      <c r="BQ218" s="15">
        <v>14</v>
      </c>
      <c r="BR218" s="76">
        <f t="shared" si="166"/>
        <v>3210.48</v>
      </c>
      <c r="BS218" s="30" t="s">
        <v>72</v>
      </c>
      <c r="BU218" s="26">
        <v>4</v>
      </c>
      <c r="BV218" s="26">
        <v>4</v>
      </c>
      <c r="BW218" s="11"/>
      <c r="BX218" s="80"/>
      <c r="BY218" s="77"/>
      <c r="BZ218" s="77"/>
      <c r="CA218" s="76"/>
      <c r="CB218" s="30" t="s">
        <v>72</v>
      </c>
      <c r="CD218" s="26">
        <v>4</v>
      </c>
      <c r="CE218" s="26">
        <v>4</v>
      </c>
      <c r="CF218" s="11"/>
      <c r="CG218" s="80"/>
      <c r="CH218" s="77"/>
      <c r="CI218" s="77"/>
      <c r="CJ218" s="76"/>
      <c r="CK218" s="30" t="s">
        <v>72</v>
      </c>
      <c r="CM218" s="26">
        <v>4</v>
      </c>
      <c r="CN218" s="26">
        <v>4</v>
      </c>
      <c r="CO218" s="11"/>
      <c r="CP218" s="80"/>
      <c r="CQ218" s="77"/>
      <c r="CR218" s="77"/>
      <c r="CS218" s="76"/>
      <c r="CT218" s="30" t="s">
        <v>72</v>
      </c>
      <c r="CV218" s="26">
        <v>4</v>
      </c>
      <c r="CW218" s="26">
        <v>4</v>
      </c>
      <c r="CX218" s="11"/>
      <c r="CY218" s="80"/>
      <c r="CZ218" s="77"/>
      <c r="DA218" s="77"/>
      <c r="DB218" s="76"/>
      <c r="DC218" s="30" t="s">
        <v>72</v>
      </c>
      <c r="DE218" s="26">
        <v>4</v>
      </c>
      <c r="DF218" s="26">
        <v>4</v>
      </c>
      <c r="DG218" s="11"/>
      <c r="DH218" s="80"/>
      <c r="DI218" s="77"/>
      <c r="DJ218" s="77"/>
      <c r="DK218" s="76"/>
      <c r="DL218" s="30" t="s">
        <v>72</v>
      </c>
      <c r="DN218" s="26">
        <v>4</v>
      </c>
      <c r="DO218" s="26">
        <v>4</v>
      </c>
      <c r="DP218" s="11"/>
      <c r="DQ218" s="80"/>
      <c r="DR218" s="77"/>
      <c r="DS218" s="77"/>
      <c r="DT218" s="76"/>
      <c r="DU218" s="30" t="s">
        <v>72</v>
      </c>
      <c r="DX218">
        <v>29</v>
      </c>
    </row>
    <row r="219" spans="1:128" x14ac:dyDescent="0.25">
      <c r="A219" s="26">
        <v>5</v>
      </c>
      <c r="B219" s="26">
        <v>5</v>
      </c>
      <c r="C219" s="11"/>
      <c r="D219" s="15">
        <v>6</v>
      </c>
      <c r="E219" s="15">
        <v>5</v>
      </c>
      <c r="F219" s="15">
        <v>4</v>
      </c>
      <c r="G219" s="30">
        <f t="shared" si="159"/>
        <v>62.400000000000006</v>
      </c>
      <c r="H219" s="30"/>
      <c r="J219" s="26">
        <v>5</v>
      </c>
      <c r="K219" s="26">
        <v>5</v>
      </c>
      <c r="L219" s="11"/>
      <c r="M219" s="15">
        <v>6</v>
      </c>
      <c r="N219" s="15">
        <v>4.5999999999999996</v>
      </c>
      <c r="O219" s="15">
        <v>3.2</v>
      </c>
      <c r="P219" s="30">
        <f t="shared" si="160"/>
        <v>45.926400000000001</v>
      </c>
      <c r="Q219" s="30"/>
      <c r="S219" s="26">
        <v>5</v>
      </c>
      <c r="T219" s="26">
        <v>5</v>
      </c>
      <c r="U219" s="11"/>
      <c r="V219" s="15">
        <v>10.199999999999999</v>
      </c>
      <c r="W219" s="15">
        <v>6.5</v>
      </c>
      <c r="X219" s="15">
        <v>4.2</v>
      </c>
      <c r="Y219" s="30">
        <f t="shared" si="161"/>
        <v>144.79919999999998</v>
      </c>
      <c r="Z219" s="30"/>
      <c r="AB219" s="26">
        <v>5</v>
      </c>
      <c r="AC219" s="26">
        <v>5</v>
      </c>
      <c r="AD219" s="11"/>
      <c r="AE219" s="15">
        <v>12.9</v>
      </c>
      <c r="AF219" s="15">
        <v>6.8</v>
      </c>
      <c r="AG219" s="15">
        <v>8.6</v>
      </c>
      <c r="AH219" s="30">
        <f t="shared" si="162"/>
        <v>392.28384</v>
      </c>
      <c r="AI219" s="30"/>
      <c r="AK219" s="26">
        <v>5</v>
      </c>
      <c r="AL219" s="26">
        <v>5</v>
      </c>
      <c r="AM219" s="11"/>
      <c r="AN219" s="15">
        <v>16.2</v>
      </c>
      <c r="AO219" s="15">
        <v>12</v>
      </c>
      <c r="AP219" s="15">
        <v>6.9</v>
      </c>
      <c r="AQ219" s="30">
        <f t="shared" si="163"/>
        <v>697.50720000000001</v>
      </c>
      <c r="AR219" s="30"/>
      <c r="AT219" s="26">
        <v>5</v>
      </c>
      <c r="AU219" s="26">
        <v>5</v>
      </c>
      <c r="AV219" s="11"/>
      <c r="AW219" s="15">
        <v>16.3</v>
      </c>
      <c r="AX219" s="15">
        <v>12.8</v>
      </c>
      <c r="AY219" s="15">
        <v>7.5</v>
      </c>
      <c r="AZ219" s="30">
        <f t="shared" si="164"/>
        <v>813.69600000000014</v>
      </c>
      <c r="BA219" s="30"/>
      <c r="BC219" s="26">
        <v>5</v>
      </c>
      <c r="BD219" s="26">
        <v>5</v>
      </c>
      <c r="BE219" s="11"/>
      <c r="BF219" s="15">
        <v>19.600000000000001</v>
      </c>
      <c r="BG219" s="15">
        <v>15</v>
      </c>
      <c r="BH219" s="15">
        <v>10.4</v>
      </c>
      <c r="BI219" s="30">
        <f t="shared" si="165"/>
        <v>1589.952</v>
      </c>
      <c r="BJ219" s="30" t="s">
        <v>67</v>
      </c>
      <c r="BL219" s="26">
        <v>5</v>
      </c>
      <c r="BM219" s="26">
        <v>5</v>
      </c>
      <c r="BN219" s="11"/>
      <c r="BO219" s="15">
        <v>22</v>
      </c>
      <c r="BP219" s="15">
        <v>18</v>
      </c>
      <c r="BQ219" s="15">
        <v>14</v>
      </c>
      <c r="BR219" s="76">
        <f t="shared" si="166"/>
        <v>2882.88</v>
      </c>
      <c r="BS219" s="30" t="s">
        <v>72</v>
      </c>
      <c r="BU219" s="26">
        <v>5</v>
      </c>
      <c r="BV219" s="26">
        <v>5</v>
      </c>
      <c r="BW219" s="11"/>
      <c r="BX219" s="77"/>
      <c r="BY219" s="77"/>
      <c r="BZ219" s="77"/>
      <c r="CA219" s="76"/>
      <c r="CB219" s="30" t="s">
        <v>72</v>
      </c>
      <c r="CD219" s="26">
        <v>5</v>
      </c>
      <c r="CE219" s="26">
        <v>5</v>
      </c>
      <c r="CF219" s="11"/>
      <c r="CG219" s="77"/>
      <c r="CH219" s="77"/>
      <c r="CI219" s="77"/>
      <c r="CJ219" s="76"/>
      <c r="CK219" s="30" t="s">
        <v>72</v>
      </c>
      <c r="CM219" s="26">
        <v>5</v>
      </c>
      <c r="CN219" s="26">
        <v>5</v>
      </c>
      <c r="CO219" s="11"/>
      <c r="CP219" s="77"/>
      <c r="CQ219" s="77"/>
      <c r="CR219" s="77"/>
      <c r="CS219" s="76"/>
      <c r="CT219" s="30" t="s">
        <v>72</v>
      </c>
      <c r="CV219" s="26">
        <v>5</v>
      </c>
      <c r="CW219" s="26">
        <v>5</v>
      </c>
      <c r="CX219" s="11"/>
      <c r="CY219" s="77"/>
      <c r="CZ219" s="77"/>
      <c r="DA219" s="77"/>
      <c r="DB219" s="76"/>
      <c r="DC219" s="30" t="s">
        <v>72</v>
      </c>
      <c r="DE219" s="26">
        <v>5</v>
      </c>
      <c r="DF219" s="26">
        <v>5</v>
      </c>
      <c r="DG219" s="11"/>
      <c r="DH219" s="77"/>
      <c r="DI219" s="77"/>
      <c r="DJ219" s="77"/>
      <c r="DK219" s="76"/>
      <c r="DL219" s="30" t="s">
        <v>72</v>
      </c>
      <c r="DN219" s="26">
        <v>5</v>
      </c>
      <c r="DO219" s="26">
        <v>5</v>
      </c>
      <c r="DP219" s="11"/>
      <c r="DQ219" s="77"/>
      <c r="DR219" s="77"/>
      <c r="DS219" s="77"/>
      <c r="DT219" s="76"/>
      <c r="DU219" s="30" t="s">
        <v>72</v>
      </c>
      <c r="DX219">
        <v>29</v>
      </c>
    </row>
    <row r="220" spans="1:128" x14ac:dyDescent="0.25">
      <c r="A220" s="26">
        <v>6</v>
      </c>
      <c r="B220" s="26">
        <v>6</v>
      </c>
      <c r="C220" s="11"/>
      <c r="D220" s="18">
        <v>3</v>
      </c>
      <c r="E220" s="15">
        <v>3</v>
      </c>
      <c r="F220" s="15">
        <v>3</v>
      </c>
      <c r="G220" s="30">
        <f t="shared" si="159"/>
        <v>14.040000000000001</v>
      </c>
      <c r="H220" s="30"/>
      <c r="J220" s="26">
        <v>6</v>
      </c>
      <c r="K220" s="26">
        <v>6</v>
      </c>
      <c r="L220" s="11"/>
      <c r="M220" s="18">
        <v>7</v>
      </c>
      <c r="N220" s="15">
        <v>4.7</v>
      </c>
      <c r="O220" s="15">
        <v>2.7</v>
      </c>
      <c r="P220" s="30">
        <f t="shared" si="160"/>
        <v>46.191600000000001</v>
      </c>
      <c r="Q220" s="30"/>
      <c r="S220" s="26">
        <v>6</v>
      </c>
      <c r="T220" s="26">
        <v>6</v>
      </c>
      <c r="U220" s="11"/>
      <c r="V220" s="18">
        <v>6</v>
      </c>
      <c r="W220" s="15">
        <v>6</v>
      </c>
      <c r="X220" s="15">
        <v>4</v>
      </c>
      <c r="Y220" s="30">
        <f t="shared" si="161"/>
        <v>74.88</v>
      </c>
      <c r="Z220" s="30"/>
      <c r="AB220" s="26">
        <v>6</v>
      </c>
      <c r="AC220" s="26">
        <v>6</v>
      </c>
      <c r="AD220" s="11"/>
      <c r="AE220" s="18">
        <v>7.6</v>
      </c>
      <c r="AF220" s="15">
        <v>9</v>
      </c>
      <c r="AG220" s="15">
        <v>5</v>
      </c>
      <c r="AH220" s="30">
        <f t="shared" si="162"/>
        <v>177.83999999999997</v>
      </c>
      <c r="AI220" s="30"/>
      <c r="AK220" s="26">
        <v>6</v>
      </c>
      <c r="AL220" s="26">
        <v>6</v>
      </c>
      <c r="AM220" s="11"/>
      <c r="AN220" s="18">
        <v>8</v>
      </c>
      <c r="AO220" s="15">
        <v>8</v>
      </c>
      <c r="AP220" s="15">
        <v>5.2</v>
      </c>
      <c r="AQ220" s="30">
        <f t="shared" si="163"/>
        <v>173.05600000000001</v>
      </c>
      <c r="AR220" s="30"/>
      <c r="AT220" s="26">
        <v>6</v>
      </c>
      <c r="AU220" s="26">
        <v>6</v>
      </c>
      <c r="AV220" s="11"/>
      <c r="AW220" s="18">
        <v>10.5</v>
      </c>
      <c r="AX220" s="15">
        <v>9</v>
      </c>
      <c r="AY220" s="15">
        <v>6.3</v>
      </c>
      <c r="AZ220" s="30">
        <f t="shared" si="164"/>
        <v>309.58200000000005</v>
      </c>
      <c r="BA220" s="30"/>
      <c r="BC220" s="26">
        <v>6</v>
      </c>
      <c r="BD220" s="26">
        <v>6</v>
      </c>
      <c r="BE220" s="11"/>
      <c r="BF220" s="18">
        <v>14</v>
      </c>
      <c r="BG220" s="15">
        <v>11.4</v>
      </c>
      <c r="BH220" s="15">
        <v>8.1</v>
      </c>
      <c r="BI220" s="30">
        <f t="shared" si="165"/>
        <v>672.23519999999996</v>
      </c>
      <c r="BJ220" s="30"/>
      <c r="BL220" s="26">
        <v>6</v>
      </c>
      <c r="BM220" s="26">
        <v>6</v>
      </c>
      <c r="BN220" s="11"/>
      <c r="BO220" s="18">
        <v>15</v>
      </c>
      <c r="BP220" s="15">
        <v>16</v>
      </c>
      <c r="BQ220" s="15">
        <v>12</v>
      </c>
      <c r="BR220" s="30">
        <f t="shared" si="166"/>
        <v>1497.6000000000001</v>
      </c>
      <c r="BS220" s="30"/>
      <c r="BU220" s="26">
        <v>6</v>
      </c>
      <c r="BV220" s="26">
        <v>6</v>
      </c>
      <c r="BW220" s="11"/>
      <c r="BX220" s="18">
        <v>17.3</v>
      </c>
      <c r="BY220" s="15">
        <v>13.3</v>
      </c>
      <c r="BZ220" s="15">
        <v>8.4</v>
      </c>
      <c r="CA220" s="30">
        <f t="shared" si="167"/>
        <v>1005.0331200000002</v>
      </c>
      <c r="CB220" s="30"/>
      <c r="CD220" s="26">
        <v>6</v>
      </c>
      <c r="CE220" s="26">
        <v>6</v>
      </c>
      <c r="CF220" s="11"/>
      <c r="CG220" s="18">
        <v>22</v>
      </c>
      <c r="CH220" s="15">
        <v>19</v>
      </c>
      <c r="CI220" s="15">
        <v>9.3000000000000007</v>
      </c>
      <c r="CJ220" s="82">
        <f t="shared" ref="CJ220" si="168">CG220*CH220*CI220*0.52</f>
        <v>2021.4480000000001</v>
      </c>
      <c r="CK220" s="30" t="s">
        <v>78</v>
      </c>
      <c r="CM220" s="26">
        <v>6</v>
      </c>
      <c r="CN220" s="26">
        <v>6</v>
      </c>
      <c r="CO220" s="11"/>
      <c r="CP220" s="84"/>
      <c r="CQ220" s="83"/>
      <c r="CR220" s="83"/>
      <c r="CS220" s="82"/>
      <c r="CT220" s="30" t="s">
        <v>78</v>
      </c>
      <c r="CV220" s="26">
        <v>6</v>
      </c>
      <c r="CW220" s="26">
        <v>6</v>
      </c>
      <c r="CX220" s="11"/>
      <c r="CY220" s="84"/>
      <c r="CZ220" s="83"/>
      <c r="DA220" s="83"/>
      <c r="DB220" s="82"/>
      <c r="DC220" s="30" t="s">
        <v>78</v>
      </c>
      <c r="DE220" s="26">
        <v>6</v>
      </c>
      <c r="DF220" s="26">
        <v>6</v>
      </c>
      <c r="DG220" s="11"/>
      <c r="DH220" s="84"/>
      <c r="DI220" s="83"/>
      <c r="DJ220" s="83"/>
      <c r="DK220" s="82"/>
      <c r="DL220" s="30" t="s">
        <v>78</v>
      </c>
      <c r="DN220" s="26">
        <v>6</v>
      </c>
      <c r="DO220" s="26">
        <v>6</v>
      </c>
      <c r="DP220" s="11"/>
      <c r="DQ220" s="84"/>
      <c r="DR220" s="83"/>
      <c r="DS220" s="83"/>
      <c r="DT220" s="82"/>
      <c r="DU220" s="30" t="s">
        <v>78</v>
      </c>
      <c r="DX220">
        <v>33</v>
      </c>
    </row>
    <row r="221" spans="1:128" x14ac:dyDescent="0.25">
      <c r="A221" s="26">
        <v>7</v>
      </c>
      <c r="B221" s="35">
        <v>14</v>
      </c>
      <c r="C221" s="11"/>
      <c r="D221" s="15">
        <v>4</v>
      </c>
      <c r="E221" s="15">
        <v>4</v>
      </c>
      <c r="F221" s="15">
        <v>3</v>
      </c>
      <c r="G221" s="30">
        <f t="shared" si="159"/>
        <v>24.96</v>
      </c>
      <c r="H221" s="30"/>
      <c r="J221" s="26">
        <v>7</v>
      </c>
      <c r="K221" s="35">
        <v>14</v>
      </c>
      <c r="L221" s="11"/>
      <c r="M221" s="15">
        <v>7</v>
      </c>
      <c r="N221" s="15">
        <v>4</v>
      </c>
      <c r="O221" s="15">
        <v>2.5</v>
      </c>
      <c r="P221" s="30">
        <f t="shared" si="160"/>
        <v>36.4</v>
      </c>
      <c r="Q221" s="30"/>
      <c r="S221" s="26">
        <v>7</v>
      </c>
      <c r="T221" s="35">
        <v>14</v>
      </c>
      <c r="U221" s="11"/>
      <c r="V221" s="15">
        <v>9.4</v>
      </c>
      <c r="W221" s="15">
        <v>5.2</v>
      </c>
      <c r="X221" s="15">
        <v>4.9000000000000004</v>
      </c>
      <c r="Y221" s="30">
        <f t="shared" si="161"/>
        <v>124.54624000000003</v>
      </c>
      <c r="Z221" s="30"/>
      <c r="AB221" s="26">
        <v>7</v>
      </c>
      <c r="AC221" s="35">
        <v>14</v>
      </c>
      <c r="AD221" s="11"/>
      <c r="AE221" s="15">
        <v>11.2</v>
      </c>
      <c r="AF221" s="15">
        <v>6.5</v>
      </c>
      <c r="AG221" s="15">
        <v>5.2</v>
      </c>
      <c r="AH221" s="30">
        <f t="shared" si="162"/>
        <v>196.85120000000001</v>
      </c>
      <c r="AI221" s="30"/>
      <c r="AK221" s="26">
        <v>7</v>
      </c>
      <c r="AL221" s="35">
        <v>14</v>
      </c>
      <c r="AM221" s="11"/>
      <c r="AN221" s="15">
        <v>12.6</v>
      </c>
      <c r="AO221" s="15">
        <v>10.9</v>
      </c>
      <c r="AP221" s="15">
        <v>7</v>
      </c>
      <c r="AQ221" s="30">
        <f t="shared" si="163"/>
        <v>499.91759999999999</v>
      </c>
      <c r="AR221" s="30"/>
      <c r="AT221" s="26">
        <v>7</v>
      </c>
      <c r="AU221" s="35">
        <v>14</v>
      </c>
      <c r="AV221" s="11"/>
      <c r="AW221" s="15">
        <v>14</v>
      </c>
      <c r="AX221" s="15">
        <v>11</v>
      </c>
      <c r="AY221" s="15">
        <v>8.4</v>
      </c>
      <c r="AZ221" s="30">
        <f t="shared" si="164"/>
        <v>672.67200000000014</v>
      </c>
      <c r="BA221" s="30"/>
      <c r="BC221" s="26">
        <v>7</v>
      </c>
      <c r="BD221" s="35">
        <v>14</v>
      </c>
      <c r="BE221" s="11"/>
      <c r="BF221" s="15">
        <v>20</v>
      </c>
      <c r="BG221" s="15">
        <v>13</v>
      </c>
      <c r="BH221" s="15">
        <v>10.5</v>
      </c>
      <c r="BI221" s="30">
        <f t="shared" si="165"/>
        <v>1419.6000000000001</v>
      </c>
      <c r="BJ221" s="30"/>
      <c r="BL221" s="26">
        <v>7</v>
      </c>
      <c r="BM221" s="35">
        <v>14</v>
      </c>
      <c r="BN221" s="11"/>
      <c r="BO221" s="15">
        <v>24</v>
      </c>
      <c r="BP221" s="15">
        <v>16</v>
      </c>
      <c r="BQ221" s="15">
        <v>14</v>
      </c>
      <c r="BR221" s="76">
        <f t="shared" si="166"/>
        <v>2795.52</v>
      </c>
      <c r="BS221" s="30" t="s">
        <v>72</v>
      </c>
      <c r="BU221" s="26">
        <v>7</v>
      </c>
      <c r="BV221" s="35">
        <v>14</v>
      </c>
      <c r="BW221" s="11"/>
      <c r="BX221" s="77"/>
      <c r="BY221" s="77"/>
      <c r="BZ221" s="77"/>
      <c r="CA221" s="76"/>
      <c r="CB221" s="30" t="s">
        <v>72</v>
      </c>
      <c r="CD221" s="26">
        <v>7</v>
      </c>
      <c r="CE221" s="35">
        <v>14</v>
      </c>
      <c r="CF221" s="11"/>
      <c r="CG221" s="77"/>
      <c r="CH221" s="77"/>
      <c r="CI221" s="77"/>
      <c r="CJ221" s="76"/>
      <c r="CK221" s="30" t="s">
        <v>72</v>
      </c>
      <c r="CM221" s="26">
        <v>7</v>
      </c>
      <c r="CN221" s="35">
        <v>14</v>
      </c>
      <c r="CO221" s="11"/>
      <c r="CP221" s="77"/>
      <c r="CQ221" s="77"/>
      <c r="CR221" s="77"/>
      <c r="CS221" s="76"/>
      <c r="CT221" s="30" t="s">
        <v>72</v>
      </c>
      <c r="CV221" s="26">
        <v>7</v>
      </c>
      <c r="CW221" s="35">
        <v>14</v>
      </c>
      <c r="CX221" s="11"/>
      <c r="CY221" s="77"/>
      <c r="CZ221" s="77"/>
      <c r="DA221" s="77"/>
      <c r="DB221" s="76"/>
      <c r="DC221" s="30" t="s">
        <v>72</v>
      </c>
      <c r="DE221" s="26">
        <v>7</v>
      </c>
      <c r="DF221" s="35">
        <v>14</v>
      </c>
      <c r="DG221" s="11"/>
      <c r="DH221" s="77"/>
      <c r="DI221" s="77"/>
      <c r="DJ221" s="77"/>
      <c r="DK221" s="76"/>
      <c r="DL221" s="30" t="s">
        <v>72</v>
      </c>
      <c r="DN221" s="26">
        <v>7</v>
      </c>
      <c r="DO221" s="35">
        <v>14</v>
      </c>
      <c r="DP221" s="11"/>
      <c r="DQ221" s="77"/>
      <c r="DR221" s="77"/>
      <c r="DS221" s="77"/>
      <c r="DT221" s="76"/>
      <c r="DU221" s="30" t="s">
        <v>72</v>
      </c>
      <c r="DX221">
        <v>33</v>
      </c>
    </row>
    <row r="222" spans="1:128" x14ac:dyDescent="0.25">
      <c r="A222" s="26">
        <v>8</v>
      </c>
      <c r="B222" s="35">
        <v>15</v>
      </c>
      <c r="C222" s="11"/>
      <c r="D222" s="15">
        <v>4</v>
      </c>
      <c r="E222" s="15">
        <v>3</v>
      </c>
      <c r="F222" s="15">
        <v>3</v>
      </c>
      <c r="G222" s="30">
        <f t="shared" si="159"/>
        <v>18.72</v>
      </c>
      <c r="H222" s="30"/>
      <c r="J222" s="26">
        <v>8</v>
      </c>
      <c r="K222" s="35">
        <v>15</v>
      </c>
      <c r="L222" s="11"/>
      <c r="M222" s="15">
        <v>6</v>
      </c>
      <c r="N222" s="15">
        <v>5</v>
      </c>
      <c r="O222" s="15">
        <v>2.7</v>
      </c>
      <c r="P222" s="30">
        <f t="shared" si="160"/>
        <v>42.120000000000005</v>
      </c>
      <c r="Q222" s="30"/>
      <c r="S222" s="26">
        <v>8</v>
      </c>
      <c r="T222" s="35">
        <v>15</v>
      </c>
      <c r="U222" s="11"/>
      <c r="V222" s="15">
        <v>9.4</v>
      </c>
      <c r="W222" s="15">
        <v>7.7</v>
      </c>
      <c r="X222" s="15">
        <v>6.1</v>
      </c>
      <c r="Y222" s="30">
        <f t="shared" si="161"/>
        <v>229.58936000000003</v>
      </c>
      <c r="Z222" s="30"/>
      <c r="AB222" s="26">
        <v>8</v>
      </c>
      <c r="AC222" s="35">
        <v>15</v>
      </c>
      <c r="AD222" s="11"/>
      <c r="AE222" s="15">
        <v>8.9</v>
      </c>
      <c r="AF222" s="15">
        <v>6.6</v>
      </c>
      <c r="AG222" s="15">
        <v>5.5</v>
      </c>
      <c r="AH222" s="30">
        <f t="shared" si="162"/>
        <v>167.99639999999999</v>
      </c>
      <c r="AI222" s="30"/>
      <c r="AK222" s="26">
        <v>8</v>
      </c>
      <c r="AL222" s="35">
        <v>15</v>
      </c>
      <c r="AM222" s="11"/>
      <c r="AN222" s="15">
        <v>13.4</v>
      </c>
      <c r="AO222" s="15">
        <v>9.3000000000000007</v>
      </c>
      <c r="AP222" s="15">
        <v>6.5</v>
      </c>
      <c r="AQ222" s="30">
        <f t="shared" si="163"/>
        <v>421.21560000000005</v>
      </c>
      <c r="AR222" s="30"/>
      <c r="AT222" s="26">
        <v>8</v>
      </c>
      <c r="AU222" s="35">
        <v>15</v>
      </c>
      <c r="AV222" s="11"/>
      <c r="AW222" s="15">
        <v>12.7</v>
      </c>
      <c r="AX222" s="15">
        <v>9</v>
      </c>
      <c r="AY222" s="15">
        <v>6.8</v>
      </c>
      <c r="AZ222" s="30">
        <f t="shared" si="164"/>
        <v>404.16480000000001</v>
      </c>
      <c r="BA222" s="30"/>
      <c r="BC222" s="26">
        <v>8</v>
      </c>
      <c r="BD222" s="35">
        <v>15</v>
      </c>
      <c r="BE222" s="11"/>
      <c r="BF222" s="15">
        <v>15.2</v>
      </c>
      <c r="BG222" s="15">
        <v>10.5</v>
      </c>
      <c r="BH222" s="15">
        <v>8.4</v>
      </c>
      <c r="BI222" s="30">
        <f t="shared" si="165"/>
        <v>697.13280000000009</v>
      </c>
      <c r="BJ222" s="30"/>
      <c r="BL222" s="26">
        <v>8</v>
      </c>
      <c r="BM222" s="35">
        <v>15</v>
      </c>
      <c r="BN222" s="11"/>
      <c r="BO222" s="15">
        <v>20</v>
      </c>
      <c r="BP222" s="15">
        <v>14</v>
      </c>
      <c r="BQ222" s="15">
        <v>10.4</v>
      </c>
      <c r="BR222" s="30">
        <f t="shared" si="166"/>
        <v>1514.24</v>
      </c>
      <c r="BS222" s="30"/>
      <c r="BU222" s="26">
        <v>8</v>
      </c>
      <c r="BV222" s="35">
        <v>15</v>
      </c>
      <c r="BW222" s="11"/>
      <c r="BX222" s="15">
        <v>26</v>
      </c>
      <c r="BY222" s="15">
        <v>16</v>
      </c>
      <c r="BZ222" s="15">
        <v>11.6</v>
      </c>
      <c r="CA222" s="76">
        <f t="shared" si="167"/>
        <v>2509.3119999999999</v>
      </c>
      <c r="CB222" s="30" t="s">
        <v>74</v>
      </c>
      <c r="CD222" s="26">
        <v>8</v>
      </c>
      <c r="CE222" s="35">
        <v>15</v>
      </c>
      <c r="CF222" s="11"/>
      <c r="CG222" s="77"/>
      <c r="CH222" s="77"/>
      <c r="CI222" s="77"/>
      <c r="CJ222" s="76"/>
      <c r="CK222" s="30" t="s">
        <v>74</v>
      </c>
      <c r="CM222" s="26">
        <v>8</v>
      </c>
      <c r="CN222" s="35">
        <v>15</v>
      </c>
      <c r="CO222" s="11"/>
      <c r="CP222" s="77"/>
      <c r="CQ222" s="77"/>
      <c r="CR222" s="77"/>
      <c r="CS222" s="76"/>
      <c r="CT222" s="30" t="s">
        <v>74</v>
      </c>
      <c r="CV222" s="26">
        <v>8</v>
      </c>
      <c r="CW222" s="35">
        <v>15</v>
      </c>
      <c r="CX222" s="11"/>
      <c r="CY222" s="77"/>
      <c r="CZ222" s="77"/>
      <c r="DA222" s="77"/>
      <c r="DB222" s="76"/>
      <c r="DC222" s="30" t="s">
        <v>74</v>
      </c>
      <c r="DE222" s="26">
        <v>8</v>
      </c>
      <c r="DF222" s="35">
        <v>15</v>
      </c>
      <c r="DG222" s="11"/>
      <c r="DH222" s="77"/>
      <c r="DI222" s="77"/>
      <c r="DJ222" s="77"/>
      <c r="DK222" s="76"/>
      <c r="DL222" s="30" t="s">
        <v>74</v>
      </c>
      <c r="DN222" s="26">
        <v>8</v>
      </c>
      <c r="DO222" s="35">
        <v>15</v>
      </c>
      <c r="DP222" s="11"/>
      <c r="DQ222" s="77"/>
      <c r="DR222" s="77"/>
      <c r="DS222" s="77"/>
      <c r="DT222" s="76"/>
      <c r="DU222" s="30" t="s">
        <v>74</v>
      </c>
      <c r="DX222">
        <v>33</v>
      </c>
    </row>
    <row r="223" spans="1:128" x14ac:dyDescent="0.25">
      <c r="A223" s="26">
        <v>9</v>
      </c>
      <c r="B223" s="36" t="s">
        <v>8</v>
      </c>
      <c r="C223" s="11"/>
      <c r="D223" s="15">
        <v>5</v>
      </c>
      <c r="E223" s="15">
        <v>5</v>
      </c>
      <c r="F223" s="15">
        <v>2.5</v>
      </c>
      <c r="G223" s="30">
        <f t="shared" si="159"/>
        <v>32.5</v>
      </c>
      <c r="H223" s="30"/>
      <c r="J223" s="26">
        <v>9</v>
      </c>
      <c r="K223" s="36" t="s">
        <v>8</v>
      </c>
      <c r="L223" s="11"/>
      <c r="M223" s="15">
        <v>7</v>
      </c>
      <c r="N223" s="15">
        <v>6.2</v>
      </c>
      <c r="O223" s="15">
        <v>3.4</v>
      </c>
      <c r="P223" s="30">
        <f t="shared" si="160"/>
        <v>76.731200000000001</v>
      </c>
      <c r="Q223" s="30"/>
      <c r="S223" s="26">
        <v>9</v>
      </c>
      <c r="T223" s="36" t="s">
        <v>8</v>
      </c>
      <c r="U223" s="11"/>
      <c r="V223" s="15">
        <v>11.8</v>
      </c>
      <c r="W223" s="15">
        <v>8.6</v>
      </c>
      <c r="X223" s="15">
        <v>4.4000000000000004</v>
      </c>
      <c r="Y223" s="30">
        <f t="shared" si="161"/>
        <v>232.18624000000003</v>
      </c>
      <c r="Z223" s="30"/>
      <c r="AB223" s="26">
        <v>9</v>
      </c>
      <c r="AC223" s="36" t="s">
        <v>8</v>
      </c>
      <c r="AD223" s="11"/>
      <c r="AE223" s="15">
        <v>12.7</v>
      </c>
      <c r="AF223" s="15">
        <v>10</v>
      </c>
      <c r="AG223" s="15">
        <v>5</v>
      </c>
      <c r="AH223" s="30">
        <f t="shared" si="162"/>
        <v>330.2</v>
      </c>
      <c r="AI223" s="30"/>
      <c r="AK223" s="26">
        <v>9</v>
      </c>
      <c r="AL223" s="36" t="s">
        <v>8</v>
      </c>
      <c r="AM223" s="11"/>
      <c r="AN223" s="15">
        <v>16</v>
      </c>
      <c r="AO223" s="15">
        <v>11.2</v>
      </c>
      <c r="AP223" s="15">
        <v>7</v>
      </c>
      <c r="AQ223" s="30">
        <f t="shared" si="163"/>
        <v>652.2879999999999</v>
      </c>
      <c r="AR223" s="30"/>
      <c r="AT223" s="26">
        <v>9</v>
      </c>
      <c r="AU223" s="36" t="s">
        <v>8</v>
      </c>
      <c r="AV223" s="11"/>
      <c r="AW223" s="15">
        <v>16</v>
      </c>
      <c r="AX223" s="15">
        <v>13</v>
      </c>
      <c r="AY223" s="15">
        <v>7.2</v>
      </c>
      <c r="AZ223" s="30">
        <f t="shared" si="164"/>
        <v>778.75200000000007</v>
      </c>
      <c r="BA223" s="30"/>
      <c r="BC223" s="26">
        <v>9</v>
      </c>
      <c r="BD223" s="36" t="s">
        <v>8</v>
      </c>
      <c r="BE223" s="11"/>
      <c r="BF223" s="15">
        <v>18.600000000000001</v>
      </c>
      <c r="BG223" s="15">
        <v>15.5</v>
      </c>
      <c r="BH223" s="15">
        <v>9.3000000000000007</v>
      </c>
      <c r="BI223" s="30">
        <f t="shared" si="165"/>
        <v>1394.2188000000003</v>
      </c>
      <c r="BJ223" s="30"/>
      <c r="BL223" s="26">
        <v>9</v>
      </c>
      <c r="BM223" s="36" t="s">
        <v>8</v>
      </c>
      <c r="BN223" s="11"/>
      <c r="BO223" s="15">
        <v>29</v>
      </c>
      <c r="BP223" s="15">
        <v>22</v>
      </c>
      <c r="BQ223" s="15">
        <v>14</v>
      </c>
      <c r="BR223" s="76">
        <f t="shared" si="166"/>
        <v>4644.6400000000003</v>
      </c>
      <c r="BS223" s="30" t="s">
        <v>72</v>
      </c>
      <c r="BU223" s="26">
        <v>9</v>
      </c>
      <c r="BV223" s="36" t="s">
        <v>8</v>
      </c>
      <c r="BW223" s="11"/>
      <c r="BX223" s="77"/>
      <c r="BY223" s="77"/>
      <c r="BZ223" s="77"/>
      <c r="CA223" s="76"/>
      <c r="CB223" s="30" t="s">
        <v>72</v>
      </c>
      <c r="CD223" s="26">
        <v>9</v>
      </c>
      <c r="CE223" s="36" t="s">
        <v>8</v>
      </c>
      <c r="CF223" s="11"/>
      <c r="CG223" s="77"/>
      <c r="CH223" s="77"/>
      <c r="CI223" s="77"/>
      <c r="CJ223" s="76"/>
      <c r="CK223" s="30" t="s">
        <v>72</v>
      </c>
      <c r="CM223" s="26">
        <v>9</v>
      </c>
      <c r="CN223" s="36" t="s">
        <v>8</v>
      </c>
      <c r="CO223" s="11"/>
      <c r="CP223" s="77"/>
      <c r="CQ223" s="77"/>
      <c r="CR223" s="77"/>
      <c r="CS223" s="76"/>
      <c r="CT223" s="30" t="s">
        <v>72</v>
      </c>
      <c r="CV223" s="26">
        <v>9</v>
      </c>
      <c r="CW223" s="36" t="s">
        <v>8</v>
      </c>
      <c r="CX223" s="11"/>
      <c r="CY223" s="77"/>
      <c r="CZ223" s="77"/>
      <c r="DA223" s="77"/>
      <c r="DB223" s="76"/>
      <c r="DC223" s="30" t="s">
        <v>72</v>
      </c>
      <c r="DE223" s="26">
        <v>9</v>
      </c>
      <c r="DF223" s="36" t="s">
        <v>8</v>
      </c>
      <c r="DG223" s="11"/>
      <c r="DH223" s="77"/>
      <c r="DI223" s="77"/>
      <c r="DJ223" s="77"/>
      <c r="DK223" s="76"/>
      <c r="DL223" s="30" t="s">
        <v>72</v>
      </c>
      <c r="DN223" s="26">
        <v>9</v>
      </c>
      <c r="DO223" s="36" t="s">
        <v>8</v>
      </c>
      <c r="DP223" s="11"/>
      <c r="DQ223" s="77"/>
      <c r="DR223" s="77"/>
      <c r="DS223" s="77"/>
      <c r="DT223" s="76"/>
      <c r="DU223" s="30" t="s">
        <v>72</v>
      </c>
      <c r="DX223">
        <v>36</v>
      </c>
    </row>
    <row r="224" spans="1:128" x14ac:dyDescent="0.25">
      <c r="A224" s="20" t="s">
        <v>9</v>
      </c>
      <c r="B224" s="20"/>
      <c r="C224" s="21"/>
      <c r="D224" s="22"/>
      <c r="E224" s="22"/>
      <c r="F224" s="22"/>
      <c r="G224" s="21">
        <f>AVERAGE(G215:G223)</f>
        <v>26.375555555555557</v>
      </c>
      <c r="H224" s="21"/>
      <c r="J224" s="20" t="s">
        <v>9</v>
      </c>
      <c r="K224" s="20"/>
      <c r="L224" s="21"/>
      <c r="M224" s="22"/>
      <c r="N224" s="22"/>
      <c r="O224" s="22"/>
      <c r="P224" s="21">
        <f>AVERAGE(P215:P223)</f>
        <v>45.547204444444446</v>
      </c>
      <c r="Q224" s="21"/>
      <c r="S224" s="20" t="s">
        <v>9</v>
      </c>
      <c r="T224" s="20"/>
      <c r="U224" s="21"/>
      <c r="V224" s="22"/>
      <c r="W224" s="22"/>
      <c r="X224" s="22"/>
      <c r="Y224" s="21">
        <f>AVERAGE(Y215:Y223)</f>
        <v>161.20196444444443</v>
      </c>
      <c r="Z224" s="21"/>
      <c r="AB224" s="20" t="s">
        <v>9</v>
      </c>
      <c r="AC224" s="20"/>
      <c r="AD224" s="21"/>
      <c r="AE224" s="22"/>
      <c r="AF224" s="22"/>
      <c r="AG224" s="22"/>
      <c r="AH224" s="21">
        <f>AVERAGE(AH215:AH223)</f>
        <v>272.77709333333337</v>
      </c>
      <c r="AI224" s="21"/>
      <c r="AK224" s="20" t="s">
        <v>9</v>
      </c>
      <c r="AL224" s="20"/>
      <c r="AM224" s="21"/>
      <c r="AN224" s="22"/>
      <c r="AO224" s="22"/>
      <c r="AP224" s="22"/>
      <c r="AQ224" s="21">
        <f>AVERAGE(AQ215:AQ223)</f>
        <v>411.59467555555551</v>
      </c>
      <c r="AR224" s="21"/>
      <c r="AT224" s="20" t="s">
        <v>9</v>
      </c>
      <c r="AU224" s="20"/>
      <c r="AV224" s="21"/>
      <c r="AW224" s="22"/>
      <c r="AX224" s="22"/>
      <c r="AY224" s="22"/>
      <c r="AZ224" s="21">
        <f>AVERAGE(AZ215:AZ223)</f>
        <v>588.71453333333329</v>
      </c>
      <c r="BA224" s="21"/>
      <c r="BC224" s="20" t="s">
        <v>9</v>
      </c>
      <c r="BD224" s="20"/>
      <c r="BE224" s="21"/>
      <c r="BF224" s="22"/>
      <c r="BG224" s="22"/>
      <c r="BH224" s="22"/>
      <c r="BI224" s="21">
        <f>AVERAGE(BI215:BI223)</f>
        <v>1186.2357866666669</v>
      </c>
      <c r="BJ224" s="21"/>
      <c r="BL224" s="20" t="s">
        <v>9</v>
      </c>
      <c r="BM224" s="20"/>
      <c r="BN224" s="21"/>
      <c r="BO224" s="22"/>
      <c r="BP224" s="22"/>
      <c r="BQ224" s="22"/>
      <c r="BR224" s="21">
        <f>AVERAGE(BR215:BR223)</f>
        <v>2633.6266666666666</v>
      </c>
      <c r="BS224" s="21"/>
      <c r="BU224" s="20" t="s">
        <v>9</v>
      </c>
      <c r="BV224" s="20"/>
      <c r="BW224" s="21"/>
      <c r="BX224" s="22"/>
      <c r="BY224" s="22"/>
      <c r="BZ224" s="22"/>
      <c r="CA224" s="21">
        <f>AVERAGE(CA215:CA223)</f>
        <v>2545.37673</v>
      </c>
      <c r="CB224" s="21"/>
      <c r="CD224" s="20" t="s">
        <v>9</v>
      </c>
      <c r="CE224" s="20"/>
      <c r="CF224" s="21"/>
      <c r="CG224" s="22"/>
      <c r="CH224" s="22"/>
      <c r="CI224" s="22"/>
      <c r="CJ224" s="21">
        <f>AVERAGE(CJ215:CJ223)</f>
        <v>2021.4480000000001</v>
      </c>
      <c r="CK224" s="21"/>
      <c r="CM224" s="20" t="s">
        <v>9</v>
      </c>
      <c r="CN224" s="20"/>
      <c r="CO224" s="21"/>
      <c r="CP224" s="22"/>
      <c r="CQ224" s="22"/>
      <c r="CR224" s="22"/>
      <c r="CS224" s="21" t="e">
        <f>AVERAGE(CS215:CS223)</f>
        <v>#DIV/0!</v>
      </c>
      <c r="CT224" s="21"/>
      <c r="CV224" s="20" t="s">
        <v>9</v>
      </c>
      <c r="CW224" s="20"/>
      <c r="CX224" s="21"/>
      <c r="CY224" s="22"/>
      <c r="CZ224" s="22"/>
      <c r="DA224" s="22"/>
      <c r="DB224" s="21" t="e">
        <f>AVERAGE(DB215:DB223)</f>
        <v>#DIV/0!</v>
      </c>
      <c r="DC224" s="21"/>
      <c r="DE224" s="20" t="s">
        <v>9</v>
      </c>
      <c r="DF224" s="20"/>
      <c r="DG224" s="21"/>
      <c r="DH224" s="22"/>
      <c r="DI224" s="22"/>
      <c r="DJ224" s="22"/>
      <c r="DK224" s="21" t="e">
        <f>AVERAGE(DK215:DK223)</f>
        <v>#DIV/0!</v>
      </c>
      <c r="DL224" s="21"/>
      <c r="DN224" s="20" t="s">
        <v>9</v>
      </c>
      <c r="DO224" s="20"/>
      <c r="DP224" s="21"/>
      <c r="DQ224" s="22"/>
      <c r="DR224" s="22"/>
      <c r="DS224" s="22"/>
      <c r="DT224" s="21" t="e">
        <f>AVERAGE(DT215:DT223)</f>
        <v>#DIV/0!</v>
      </c>
      <c r="DU224" s="21"/>
    </row>
    <row r="225" spans="1:125" x14ac:dyDescent="0.25">
      <c r="A225" s="20" t="s">
        <v>10</v>
      </c>
      <c r="B225" s="20"/>
      <c r="C225" s="22"/>
      <c r="D225" s="22"/>
      <c r="E225" s="22"/>
      <c r="F225" s="22"/>
      <c r="G225" s="21">
        <f>AVEDEV(G215:G223)</f>
        <v>9.3664197530864204</v>
      </c>
      <c r="H225" s="21"/>
      <c r="J225" s="20" t="s">
        <v>10</v>
      </c>
      <c r="K225" s="20"/>
      <c r="L225" s="22"/>
      <c r="M225" s="22"/>
      <c r="N225" s="22"/>
      <c r="O225" s="22"/>
      <c r="P225" s="21">
        <f>AVEDEV(P215:P223)</f>
        <v>7.1572414814814795</v>
      </c>
      <c r="Q225" s="21"/>
      <c r="S225" s="20" t="s">
        <v>10</v>
      </c>
      <c r="T225" s="20"/>
      <c r="U225" s="22"/>
      <c r="V225" s="22"/>
      <c r="W225" s="22"/>
      <c r="X225" s="22"/>
      <c r="Y225" s="21">
        <f>AVEDEV(Y215:Y223)</f>
        <v>38.464823703703708</v>
      </c>
      <c r="Z225" s="21"/>
      <c r="AB225" s="20" t="s">
        <v>10</v>
      </c>
      <c r="AC225" s="20"/>
      <c r="AD225" s="22"/>
      <c r="AE225" s="22"/>
      <c r="AF225" s="22"/>
      <c r="AG225" s="22"/>
      <c r="AH225" s="21">
        <f>AVEDEV(AH215:AH223)</f>
        <v>78.607282962962984</v>
      </c>
      <c r="AI225" s="21"/>
      <c r="AK225" s="20" t="s">
        <v>10</v>
      </c>
      <c r="AL225" s="20"/>
      <c r="AM225" s="22"/>
      <c r="AN225" s="22"/>
      <c r="AO225" s="22"/>
      <c r="AP225" s="22"/>
      <c r="AQ225" s="21">
        <f>AVEDEV(AQ215:AQ223)</f>
        <v>138.78882172839502</v>
      </c>
      <c r="AR225" s="21"/>
      <c r="AT225" s="20" t="s">
        <v>10</v>
      </c>
      <c r="AU225" s="20"/>
      <c r="AV225" s="22"/>
      <c r="AW225" s="22"/>
      <c r="AX225" s="22"/>
      <c r="AY225" s="22"/>
      <c r="AZ225" s="21">
        <f>AVEDEV(AZ215:AZ223)</f>
        <v>122.00817777777782</v>
      </c>
      <c r="BA225" s="21"/>
      <c r="BC225" s="20" t="s">
        <v>10</v>
      </c>
      <c r="BD225" s="20"/>
      <c r="BE225" s="22"/>
      <c r="BF225" s="22"/>
      <c r="BG225" s="22"/>
      <c r="BH225" s="22"/>
      <c r="BI225" s="21">
        <f>AVEDEV(BI215:BI223)</f>
        <v>312.74541037037039</v>
      </c>
      <c r="BJ225" s="21"/>
      <c r="BL225" s="20" t="s">
        <v>10</v>
      </c>
      <c r="BM225" s="20"/>
      <c r="BN225" s="22"/>
      <c r="BO225" s="22"/>
      <c r="BP225" s="22"/>
      <c r="BQ225" s="22"/>
      <c r="BR225" s="21">
        <f>AVEDEV(BR215:BR223)</f>
        <v>1000.5570370370372</v>
      </c>
      <c r="BS225" s="21"/>
      <c r="BU225" s="20" t="s">
        <v>10</v>
      </c>
      <c r="BV225" s="20"/>
      <c r="BW225" s="22"/>
      <c r="BX225" s="22"/>
      <c r="BY225" s="22"/>
      <c r="BZ225" s="22"/>
      <c r="CA225" s="21">
        <f>AVEDEV(CA215:CA223)</f>
        <v>788.20417000000009</v>
      </c>
      <c r="CB225" s="21"/>
      <c r="CD225" s="20" t="s">
        <v>10</v>
      </c>
      <c r="CE225" s="20"/>
      <c r="CF225" s="22"/>
      <c r="CG225" s="22"/>
      <c r="CH225" s="22"/>
      <c r="CI225" s="22"/>
      <c r="CJ225" s="21">
        <f>AVEDEV(CJ215:CJ223)</f>
        <v>0</v>
      </c>
      <c r="CK225" s="21"/>
      <c r="CM225" s="20" t="s">
        <v>10</v>
      </c>
      <c r="CN225" s="20"/>
      <c r="CO225" s="22"/>
      <c r="CP225" s="22"/>
      <c r="CQ225" s="22"/>
      <c r="CR225" s="22"/>
      <c r="CS225" s="21" t="e">
        <f>AVEDEV(CS215:CS223)</f>
        <v>#NUM!</v>
      </c>
      <c r="CT225" s="21"/>
      <c r="CV225" s="20" t="s">
        <v>10</v>
      </c>
      <c r="CW225" s="20"/>
      <c r="CX225" s="22"/>
      <c r="CY225" s="22"/>
      <c r="CZ225" s="22"/>
      <c r="DA225" s="22"/>
      <c r="DB225" s="21" t="e">
        <f>AVEDEV(DB215:DB223)</f>
        <v>#NUM!</v>
      </c>
      <c r="DC225" s="21"/>
      <c r="DE225" s="20" t="s">
        <v>10</v>
      </c>
      <c r="DF225" s="20"/>
      <c r="DG225" s="22"/>
      <c r="DH225" s="22"/>
      <c r="DI225" s="22"/>
      <c r="DJ225" s="22"/>
      <c r="DK225" s="21" t="e">
        <f>AVEDEV(DK215:DK223)</f>
        <v>#NUM!</v>
      </c>
      <c r="DL225" s="21"/>
      <c r="DN225" s="20" t="s">
        <v>10</v>
      </c>
      <c r="DO225" s="20"/>
      <c r="DP225" s="22"/>
      <c r="DQ225" s="22"/>
      <c r="DR225" s="22"/>
      <c r="DS225" s="22"/>
      <c r="DT225" s="21" t="e">
        <f>AVEDEV(DT215:DT223)</f>
        <v>#NUM!</v>
      </c>
      <c r="DU225" s="21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N21" sqref="N2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 s="100">
        <v>1</v>
      </c>
      <c r="B2" s="98">
        <v>36.4</v>
      </c>
      <c r="C2" s="98">
        <v>79.173119999999997</v>
      </c>
      <c r="D2" s="98">
        <v>146.56979999999999</v>
      </c>
      <c r="E2" s="98">
        <v>534.04</v>
      </c>
      <c r="F2" s="98">
        <v>859.89904000000001</v>
      </c>
      <c r="G2" s="98">
        <v>1360.97</v>
      </c>
      <c r="H2" s="98">
        <v>1314.04</v>
      </c>
      <c r="I2" s="98">
        <v>2535.3119999999999</v>
      </c>
      <c r="J2" s="98"/>
      <c r="K2" s="98"/>
      <c r="L2" s="98"/>
      <c r="M2" s="98"/>
      <c r="N2" s="98"/>
      <c r="O2" s="98"/>
    </row>
    <row r="3" spans="1:15" x14ac:dyDescent="0.25">
      <c r="A3">
        <v>2</v>
      </c>
      <c r="B3" s="98">
        <v>26</v>
      </c>
      <c r="C3" s="98">
        <v>76.876800000000003</v>
      </c>
      <c r="D3" s="98">
        <v>161.89055999999999</v>
      </c>
      <c r="E3" s="98">
        <v>155.142</v>
      </c>
      <c r="F3" s="98">
        <v>280.54000000000002</v>
      </c>
      <c r="G3" s="98">
        <v>267.32159999999999</v>
      </c>
      <c r="H3" s="98">
        <v>349.83</v>
      </c>
      <c r="I3" s="98">
        <v>918.19520000000011</v>
      </c>
      <c r="J3" s="98">
        <v>1032.3612000000001</v>
      </c>
      <c r="K3" s="98">
        <v>684.90239999999994</v>
      </c>
      <c r="L3" s="98">
        <v>1757.8054000000002</v>
      </c>
      <c r="M3" s="98">
        <v>3329.1648</v>
      </c>
      <c r="N3" s="98"/>
      <c r="O3" s="98"/>
    </row>
    <row r="4" spans="1:15" x14ac:dyDescent="0.25">
      <c r="A4">
        <v>3</v>
      </c>
      <c r="B4" s="98">
        <v>20.8</v>
      </c>
      <c r="C4" s="98">
        <v>92.892799999999994</v>
      </c>
      <c r="D4" s="98">
        <v>160.61760000000001</v>
      </c>
      <c r="E4" s="98">
        <v>75.036000000000016</v>
      </c>
      <c r="F4" s="98">
        <v>179.71199999999999</v>
      </c>
      <c r="G4" s="98">
        <v>294.84000000000003</v>
      </c>
      <c r="H4" s="98">
        <v>114.66000000000001</v>
      </c>
      <c r="I4" s="98">
        <v>416</v>
      </c>
      <c r="J4" s="98">
        <v>695.82240000000013</v>
      </c>
      <c r="K4" s="98">
        <v>640.59840000000008</v>
      </c>
      <c r="L4" s="98">
        <v>1683.5</v>
      </c>
      <c r="M4" s="98">
        <v>2867.07564</v>
      </c>
      <c r="N4" s="98"/>
      <c r="O4" s="98"/>
    </row>
    <row r="5" spans="1:15" x14ac:dyDescent="0.25">
      <c r="A5">
        <v>4</v>
      </c>
      <c r="B5" s="98">
        <v>46.800000000000004</v>
      </c>
      <c r="C5" s="98">
        <v>79.538160000000005</v>
      </c>
      <c r="D5" s="98">
        <v>150.22800000000004</v>
      </c>
      <c r="E5" s="98">
        <v>297.64800000000002</v>
      </c>
      <c r="F5" s="98">
        <v>580.70688000000007</v>
      </c>
      <c r="G5" s="98">
        <v>1339.2288000000001</v>
      </c>
      <c r="H5" s="98">
        <v>1406.4959999999999</v>
      </c>
      <c r="I5" s="98">
        <v>2852.6992000000005</v>
      </c>
      <c r="J5" s="98"/>
      <c r="K5" s="98"/>
      <c r="L5" s="98"/>
      <c r="M5" s="98"/>
      <c r="N5" s="98"/>
      <c r="O5" s="98"/>
    </row>
    <row r="6" spans="1:15" x14ac:dyDescent="0.25">
      <c r="A6">
        <v>5</v>
      </c>
      <c r="B6" s="98">
        <v>35.1</v>
      </c>
      <c r="C6" s="98">
        <v>95.430400000000006</v>
      </c>
      <c r="D6" s="98">
        <v>134.29416000000001</v>
      </c>
      <c r="E6" s="98">
        <v>312</v>
      </c>
      <c r="F6" s="98">
        <v>345.94560000000001</v>
      </c>
      <c r="G6" s="98">
        <v>364</v>
      </c>
      <c r="H6" s="98">
        <v>944.79840000000002</v>
      </c>
      <c r="I6" s="98">
        <v>921.726</v>
      </c>
      <c r="J6" s="98">
        <v>2107.38528</v>
      </c>
      <c r="K6" s="98"/>
      <c r="L6" s="98"/>
      <c r="M6" s="98"/>
      <c r="N6" s="98"/>
      <c r="O6" s="98"/>
    </row>
    <row r="7" spans="1:15" x14ac:dyDescent="0.25">
      <c r="A7">
        <v>6</v>
      </c>
      <c r="B7" s="98">
        <v>14.040000000000001</v>
      </c>
      <c r="C7" s="98">
        <v>55.036799999999992</v>
      </c>
      <c r="D7" s="98">
        <v>461.26080000000002</v>
      </c>
      <c r="E7" s="98">
        <v>353.6</v>
      </c>
      <c r="F7" s="98">
        <v>1326</v>
      </c>
      <c r="G7" s="98">
        <v>1360.2159999999999</v>
      </c>
      <c r="H7" s="98">
        <v>3889.7559999999999</v>
      </c>
      <c r="I7" s="98"/>
      <c r="J7" s="98"/>
      <c r="K7" s="98"/>
      <c r="L7" s="98"/>
      <c r="M7" s="98"/>
      <c r="N7" s="98"/>
      <c r="O7" s="98"/>
    </row>
    <row r="8" spans="1:15" x14ac:dyDescent="0.25">
      <c r="A8">
        <v>7</v>
      </c>
      <c r="B8" s="98">
        <v>31.200000000000003</v>
      </c>
      <c r="C8" s="98">
        <v>60.06</v>
      </c>
      <c r="D8" s="98">
        <v>196.56000000000003</v>
      </c>
      <c r="E8" s="98">
        <v>275.15904</v>
      </c>
      <c r="F8" s="98">
        <v>297.41400000000004</v>
      </c>
      <c r="G8" s="98">
        <v>395.48704000000004</v>
      </c>
      <c r="H8" s="98">
        <v>1096.732</v>
      </c>
      <c r="I8" s="98">
        <v>1456</v>
      </c>
      <c r="J8" s="98">
        <v>2843.5680000000002</v>
      </c>
      <c r="K8" s="98"/>
      <c r="L8" s="98"/>
      <c r="M8" s="98"/>
      <c r="N8" s="98"/>
      <c r="O8" s="98"/>
    </row>
    <row r="9" spans="1:15" x14ac:dyDescent="0.25">
      <c r="A9">
        <v>8</v>
      </c>
      <c r="B9" s="98">
        <v>12.48</v>
      </c>
      <c r="C9" s="98">
        <v>73.288799999999995</v>
      </c>
      <c r="D9" s="98">
        <v>165.76559999999998</v>
      </c>
      <c r="E9" s="98">
        <v>298.11599999999999</v>
      </c>
      <c r="F9" s="98">
        <v>697.16399999999987</v>
      </c>
      <c r="G9" s="98">
        <v>967.07519999999988</v>
      </c>
      <c r="H9" s="98">
        <v>1452.4223999999999</v>
      </c>
      <c r="I9" s="98">
        <v>3556.8</v>
      </c>
      <c r="J9" s="98"/>
      <c r="K9" s="98"/>
      <c r="L9" s="98"/>
      <c r="M9" s="98"/>
      <c r="N9" s="98"/>
      <c r="O9" s="98"/>
    </row>
    <row r="10" spans="1:15" x14ac:dyDescent="0.25">
      <c r="A10">
        <v>9</v>
      </c>
      <c r="B10" s="98">
        <v>39</v>
      </c>
      <c r="C10" s="98">
        <v>54.053999999999995</v>
      </c>
      <c r="D10" s="98">
        <v>181.39679999999998</v>
      </c>
      <c r="E10" s="98">
        <v>308.90496000000002</v>
      </c>
      <c r="F10" s="98">
        <v>624.78000000000009</v>
      </c>
      <c r="G10" s="98">
        <v>1692.1632000000002</v>
      </c>
      <c r="H10" s="98">
        <v>2696.5879200000004</v>
      </c>
      <c r="I10" s="98"/>
      <c r="J10" s="98"/>
      <c r="K10" s="98"/>
      <c r="L10" s="98"/>
      <c r="M10" s="98"/>
      <c r="N10" s="98"/>
      <c r="O10" s="98"/>
    </row>
    <row r="11" spans="1:15" x14ac:dyDescent="0.25">
      <c r="A11">
        <v>10</v>
      </c>
      <c r="B11" s="98">
        <v>14.040000000000001</v>
      </c>
      <c r="C11" s="98">
        <v>54.312960000000004</v>
      </c>
      <c r="D11" s="98">
        <v>89.718720000000005</v>
      </c>
      <c r="E11" s="98">
        <v>210.10860000000002</v>
      </c>
      <c r="F11" s="98">
        <v>312.31199999999995</v>
      </c>
      <c r="G11" s="98">
        <v>512.36639999999989</v>
      </c>
      <c r="H11" s="98">
        <v>912.28800000000001</v>
      </c>
      <c r="I11" s="98">
        <v>1006.2</v>
      </c>
      <c r="J11" s="98">
        <v>1178.1952000000001</v>
      </c>
      <c r="K11" s="98">
        <v>2400.5695999999998</v>
      </c>
      <c r="L11" s="98"/>
      <c r="M11" s="98"/>
      <c r="N11" s="98"/>
      <c r="O11" s="98"/>
    </row>
    <row r="12" spans="1:15" x14ac:dyDescent="0.25">
      <c r="A12" t="s">
        <v>93</v>
      </c>
      <c r="B12">
        <v>27.585999999999995</v>
      </c>
      <c r="C12">
        <v>72.066383999999999</v>
      </c>
      <c r="D12">
        <v>184.83020400000001</v>
      </c>
      <c r="E12">
        <v>281.97546</v>
      </c>
      <c r="F12">
        <v>550.44735199999991</v>
      </c>
      <c r="G12">
        <v>855.36682399999995</v>
      </c>
      <c r="H12">
        <v>1259.1266799999999</v>
      </c>
      <c r="I12">
        <v>1721.81212</v>
      </c>
      <c r="J12">
        <v>2001.3764080000001</v>
      </c>
      <c r="K12">
        <v>2122.6070399999999</v>
      </c>
      <c r="L12">
        <v>2344.1305400000001</v>
      </c>
      <c r="M12">
        <v>2500</v>
      </c>
      <c r="N12">
        <v>2500</v>
      </c>
      <c r="O12">
        <v>2500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sqref="A1:O11"/>
    </sheetView>
  </sheetViews>
  <sheetFormatPr defaultRowHeight="15" x14ac:dyDescent="0.25"/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54.6</v>
      </c>
      <c r="C2" s="98">
        <v>60.769800000000004</v>
      </c>
      <c r="D2" s="98">
        <v>71.135999999999996</v>
      </c>
      <c r="E2" s="98">
        <v>94.348799999999983</v>
      </c>
      <c r="F2" s="98">
        <v>405.6</v>
      </c>
      <c r="G2" s="98">
        <v>520.18200000000002</v>
      </c>
      <c r="H2" s="98">
        <v>976.48199999999997</v>
      </c>
      <c r="I2" s="98"/>
      <c r="J2" s="98"/>
      <c r="K2" s="98"/>
      <c r="L2" s="98"/>
      <c r="M2" s="98"/>
      <c r="N2" s="98"/>
      <c r="O2" s="98"/>
    </row>
    <row r="3" spans="1:15" x14ac:dyDescent="0.25">
      <c r="A3">
        <v>2</v>
      </c>
      <c r="B3" s="98">
        <v>23.400000000000002</v>
      </c>
      <c r="C3" s="98">
        <v>40.950000000000003</v>
      </c>
      <c r="D3" s="98">
        <v>54.6</v>
      </c>
      <c r="E3" s="98">
        <v>56.160000000000004</v>
      </c>
      <c r="F3" s="98">
        <v>93.600000000000009</v>
      </c>
      <c r="G3" s="98">
        <v>140.0256</v>
      </c>
      <c r="H3" s="98">
        <v>200.26500000000001</v>
      </c>
      <c r="I3" s="98">
        <v>776.88000000000011</v>
      </c>
      <c r="J3" s="98">
        <v>1489.66272</v>
      </c>
      <c r="K3" s="98">
        <v>3144.96</v>
      </c>
      <c r="L3" s="98"/>
      <c r="M3" s="98"/>
      <c r="N3" s="98"/>
      <c r="O3" s="98"/>
    </row>
    <row r="4" spans="1:15" x14ac:dyDescent="0.25">
      <c r="A4">
        <v>3</v>
      </c>
      <c r="B4" s="98">
        <v>9.36</v>
      </c>
      <c r="C4" s="98">
        <v>39</v>
      </c>
      <c r="D4" s="98">
        <v>56.160000000000004</v>
      </c>
      <c r="E4" s="98">
        <v>249.15071999999998</v>
      </c>
      <c r="F4" s="98">
        <v>794.976</v>
      </c>
      <c r="G4" s="98">
        <v>981.24000000000012</v>
      </c>
      <c r="H4" s="98">
        <v>1643.6783999999998</v>
      </c>
      <c r="I4" s="98">
        <v>4011.28</v>
      </c>
      <c r="J4" s="98"/>
      <c r="K4" s="98"/>
      <c r="L4" s="98"/>
      <c r="M4" s="98"/>
      <c r="N4" s="98"/>
      <c r="O4" s="98"/>
    </row>
    <row r="5" spans="1:15" x14ac:dyDescent="0.25">
      <c r="A5">
        <v>4</v>
      </c>
      <c r="B5" s="98">
        <v>24.96</v>
      </c>
      <c r="C5" s="98">
        <v>39</v>
      </c>
      <c r="D5" s="98">
        <v>46.800000000000004</v>
      </c>
      <c r="E5" s="98">
        <v>14.040000000000001</v>
      </c>
      <c r="F5" s="98">
        <v>39</v>
      </c>
      <c r="G5" s="98">
        <v>39</v>
      </c>
      <c r="H5" s="98">
        <v>65</v>
      </c>
      <c r="I5" s="98">
        <v>364</v>
      </c>
      <c r="J5" s="98">
        <v>343.2</v>
      </c>
      <c r="K5" s="98">
        <v>353.6</v>
      </c>
      <c r="L5" s="98">
        <v>727.64639999999997</v>
      </c>
      <c r="M5" s="98">
        <v>1497.0009599999998</v>
      </c>
      <c r="N5" s="98">
        <v>3341.0520000000001</v>
      </c>
      <c r="O5" s="98"/>
    </row>
    <row r="6" spans="1:15" x14ac:dyDescent="0.25">
      <c r="A6">
        <v>5</v>
      </c>
      <c r="B6" s="98">
        <v>52</v>
      </c>
      <c r="C6" s="98">
        <v>44.859360000000009</v>
      </c>
      <c r="D6" s="98">
        <v>45.988800000000005</v>
      </c>
      <c r="E6" s="98">
        <v>102.64800000000001</v>
      </c>
      <c r="F6" s="98">
        <v>157.83768000000003</v>
      </c>
      <c r="G6" s="98">
        <v>425.77600000000007</v>
      </c>
      <c r="H6" s="98">
        <v>1031.68</v>
      </c>
      <c r="I6" s="98">
        <v>1755.3120000000001</v>
      </c>
      <c r="J6" s="98">
        <v>2643.1600000000003</v>
      </c>
      <c r="K6" s="98"/>
      <c r="L6" s="98"/>
      <c r="M6" s="98"/>
      <c r="N6" s="98"/>
      <c r="O6" s="98"/>
    </row>
    <row r="7" spans="1:15" x14ac:dyDescent="0.25">
      <c r="A7">
        <v>6</v>
      </c>
      <c r="B7" s="98">
        <v>39</v>
      </c>
      <c r="C7" s="98">
        <v>30.16</v>
      </c>
      <c r="D7" s="98">
        <v>89.856000000000009</v>
      </c>
      <c r="E7" s="98">
        <v>76.894999999999996</v>
      </c>
      <c r="F7" s="98">
        <v>267.88319999999999</v>
      </c>
      <c r="G7" s="98">
        <v>234.09359999999998</v>
      </c>
      <c r="H7" s="98">
        <v>1362.0047999999999</v>
      </c>
      <c r="I7" s="98">
        <v>2645.76</v>
      </c>
      <c r="J7" s="98"/>
      <c r="K7" s="98"/>
      <c r="L7" s="98"/>
      <c r="M7" s="98"/>
      <c r="N7" s="98"/>
      <c r="O7" s="98"/>
    </row>
    <row r="8" spans="1:15" x14ac:dyDescent="0.25">
      <c r="A8">
        <v>7</v>
      </c>
      <c r="B8" s="98">
        <v>15.600000000000001</v>
      </c>
      <c r="C8" s="98">
        <v>49.124400000000001</v>
      </c>
      <c r="D8" s="98">
        <v>41.299440000000004</v>
      </c>
      <c r="E8" s="98">
        <v>81.12</v>
      </c>
      <c r="F8" s="98">
        <v>187.11264000000003</v>
      </c>
      <c r="G8" s="98">
        <v>296.40000000000003</v>
      </c>
      <c r="H8" s="98">
        <v>504.37452000000002</v>
      </c>
      <c r="I8" s="98">
        <v>1291.836</v>
      </c>
      <c r="J8" s="98">
        <v>2555.2800000000002</v>
      </c>
      <c r="K8" s="98"/>
      <c r="L8" s="98"/>
      <c r="M8" s="98"/>
      <c r="N8" s="98"/>
      <c r="O8" s="98"/>
    </row>
    <row r="9" spans="1:15" x14ac:dyDescent="0.25">
      <c r="A9">
        <v>8</v>
      </c>
      <c r="B9" s="98">
        <v>12.48</v>
      </c>
      <c r="C9" s="98">
        <v>54.6</v>
      </c>
      <c r="D9" s="98">
        <v>32.5</v>
      </c>
      <c r="E9" s="98">
        <v>39</v>
      </c>
      <c r="F9" s="98">
        <v>321.75</v>
      </c>
      <c r="G9" s="98">
        <v>707.2</v>
      </c>
      <c r="H9" s="98">
        <v>1549.5480000000002</v>
      </c>
      <c r="I9" s="98">
        <v>3636.36</v>
      </c>
      <c r="J9" s="98"/>
      <c r="K9" s="98"/>
      <c r="L9" s="98"/>
      <c r="M9" s="98"/>
      <c r="N9" s="98"/>
      <c r="O9" s="98"/>
    </row>
    <row r="10" spans="1:15" x14ac:dyDescent="0.25">
      <c r="A10">
        <v>9</v>
      </c>
      <c r="B10" s="98">
        <v>54.6</v>
      </c>
      <c r="C10" s="98">
        <v>73.5488</v>
      </c>
      <c r="D10" s="98">
        <v>86.533199999999979</v>
      </c>
      <c r="E10" s="98">
        <v>349.44</v>
      </c>
      <c r="F10" s="98">
        <v>291.49120000000005</v>
      </c>
      <c r="G10" s="98">
        <v>400.40000000000003</v>
      </c>
      <c r="H10" s="98">
        <v>905.16192000000001</v>
      </c>
      <c r="I10" s="98">
        <v>1373.1120000000001</v>
      </c>
      <c r="J10" s="98"/>
      <c r="K10" s="98"/>
      <c r="L10" s="98"/>
      <c r="M10" s="98"/>
      <c r="N10" s="98"/>
      <c r="O10" s="98"/>
    </row>
    <row r="11" spans="1:15" x14ac:dyDescent="0.25">
      <c r="A11">
        <v>10</v>
      </c>
      <c r="B11" s="98">
        <v>18.72</v>
      </c>
      <c r="C11" s="98">
        <v>56.44080000000001</v>
      </c>
      <c r="D11" s="98">
        <v>93.000960000000021</v>
      </c>
      <c r="E11" s="98">
        <v>123.1776</v>
      </c>
      <c r="F11" s="98">
        <v>484.38</v>
      </c>
      <c r="G11" s="98">
        <v>846.14400000000001</v>
      </c>
      <c r="H11" s="98">
        <v>1846.0259999999998</v>
      </c>
      <c r="I11" s="98">
        <v>5187</v>
      </c>
      <c r="J11" s="98"/>
      <c r="K11" s="98"/>
      <c r="L11" s="98"/>
      <c r="M11" s="98"/>
      <c r="N11" s="98"/>
      <c r="O11" s="9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F15" sqref="F15"/>
    </sheetView>
  </sheetViews>
  <sheetFormatPr defaultRowHeight="15" x14ac:dyDescent="0.25"/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24.96</v>
      </c>
      <c r="C2" s="98">
        <v>39.761280000000006</v>
      </c>
      <c r="D2" s="98">
        <v>152.89663999999999</v>
      </c>
      <c r="E2" s="98">
        <v>291.36640000000006</v>
      </c>
      <c r="F2" s="98">
        <v>360.36</v>
      </c>
      <c r="G2" s="98">
        <v>589.05600000000015</v>
      </c>
      <c r="H2" s="98">
        <v>1220.31</v>
      </c>
      <c r="I2" s="98">
        <v>1797.1200000000001</v>
      </c>
      <c r="J2" s="98">
        <v>3663.6418000000003</v>
      </c>
      <c r="K2" s="98"/>
      <c r="L2" s="98"/>
      <c r="M2" s="98"/>
      <c r="N2" s="98"/>
      <c r="O2" s="98"/>
    </row>
    <row r="3" spans="1:15" x14ac:dyDescent="0.25">
      <c r="A3">
        <v>2</v>
      </c>
      <c r="B3" s="98">
        <v>14.040000000000001</v>
      </c>
      <c r="C3" s="98">
        <v>40.912560000000006</v>
      </c>
      <c r="D3" s="98">
        <v>142.84399999999999</v>
      </c>
      <c r="E3" s="98">
        <v>194.68799999999999</v>
      </c>
      <c r="F3" s="98">
        <v>167.80608000000004</v>
      </c>
      <c r="G3" s="98">
        <v>627.64</v>
      </c>
      <c r="H3" s="98">
        <v>1714.4524799999999</v>
      </c>
      <c r="I3" s="98">
        <v>4137.12</v>
      </c>
      <c r="J3" s="98"/>
      <c r="K3" s="98"/>
      <c r="L3" s="98"/>
      <c r="M3" s="98"/>
      <c r="N3" s="98"/>
      <c r="O3" s="98"/>
    </row>
    <row r="4" spans="1:15" x14ac:dyDescent="0.25">
      <c r="A4">
        <v>3</v>
      </c>
      <c r="B4" s="98">
        <v>24.96</v>
      </c>
      <c r="C4" s="98">
        <v>39.410799999999995</v>
      </c>
      <c r="D4" s="98">
        <v>154.15400000000002</v>
      </c>
      <c r="E4" s="98">
        <v>339.76799999999997</v>
      </c>
      <c r="F4" s="98">
        <v>358.8</v>
      </c>
      <c r="G4" s="98">
        <v>503.36</v>
      </c>
      <c r="H4" s="98">
        <v>798.22080000000005</v>
      </c>
      <c r="I4" s="98">
        <v>1223.04</v>
      </c>
      <c r="J4" s="98">
        <v>3003.52</v>
      </c>
      <c r="K4" s="98"/>
      <c r="L4" s="98"/>
      <c r="M4" s="98"/>
      <c r="N4" s="98"/>
      <c r="O4" s="98"/>
    </row>
    <row r="5" spans="1:15" x14ac:dyDescent="0.25">
      <c r="A5">
        <v>4</v>
      </c>
      <c r="B5" s="98">
        <v>20.8</v>
      </c>
      <c r="C5" s="98">
        <v>42.471000000000011</v>
      </c>
      <c r="D5" s="98">
        <v>194.92200000000003</v>
      </c>
      <c r="E5" s="98">
        <v>364</v>
      </c>
      <c r="F5" s="98">
        <v>373.40159999999997</v>
      </c>
      <c r="G5" s="98">
        <v>599.50799999999992</v>
      </c>
      <c r="H5" s="98">
        <v>1170</v>
      </c>
      <c r="I5" s="98">
        <v>3210.48</v>
      </c>
      <c r="J5" s="98"/>
      <c r="K5" s="98"/>
      <c r="L5" s="98"/>
      <c r="M5" s="98"/>
      <c r="N5" s="98"/>
      <c r="O5" s="98"/>
    </row>
    <row r="6" spans="1:15" x14ac:dyDescent="0.25">
      <c r="A6">
        <v>5</v>
      </c>
      <c r="B6" s="98">
        <v>62.400000000000006</v>
      </c>
      <c r="C6" s="98">
        <v>45.926400000000001</v>
      </c>
      <c r="D6" s="98">
        <v>144.79919999999998</v>
      </c>
      <c r="E6" s="98">
        <v>392.28384</v>
      </c>
      <c r="F6" s="98">
        <v>697.50720000000001</v>
      </c>
      <c r="G6" s="98">
        <v>813.69600000000014</v>
      </c>
      <c r="H6" s="98">
        <v>1589.952</v>
      </c>
      <c r="I6" s="98">
        <v>2882.88</v>
      </c>
      <c r="J6" s="98"/>
      <c r="K6" s="98"/>
      <c r="L6" s="98"/>
      <c r="M6" s="98"/>
      <c r="N6" s="98"/>
      <c r="O6" s="98"/>
    </row>
    <row r="7" spans="1:15" x14ac:dyDescent="0.25">
      <c r="A7">
        <v>6</v>
      </c>
      <c r="B7" s="98">
        <v>14.040000000000001</v>
      </c>
      <c r="C7" s="98">
        <v>46.191600000000001</v>
      </c>
      <c r="D7" s="98">
        <v>74.88</v>
      </c>
      <c r="E7" s="98">
        <v>177.83999999999997</v>
      </c>
      <c r="F7" s="98">
        <v>173.05600000000001</v>
      </c>
      <c r="G7" s="98">
        <v>309.58200000000005</v>
      </c>
      <c r="H7" s="98">
        <v>672.23519999999996</v>
      </c>
      <c r="I7" s="98">
        <v>1497.6000000000001</v>
      </c>
      <c r="J7" s="98">
        <v>1005.0331200000002</v>
      </c>
      <c r="K7" s="98">
        <v>2021.4480000000001</v>
      </c>
      <c r="L7" s="98"/>
      <c r="M7" s="98"/>
      <c r="N7" s="98"/>
      <c r="O7" s="98"/>
    </row>
    <row r="8" spans="1:15" x14ac:dyDescent="0.25">
      <c r="A8">
        <v>7</v>
      </c>
      <c r="B8" s="98">
        <v>24.96</v>
      </c>
      <c r="C8" s="98">
        <v>36.4</v>
      </c>
      <c r="D8" s="98">
        <v>124.54624000000003</v>
      </c>
      <c r="E8" s="98">
        <v>196.85120000000001</v>
      </c>
      <c r="F8" s="98">
        <v>499.91759999999999</v>
      </c>
      <c r="G8" s="98">
        <v>672.67200000000014</v>
      </c>
      <c r="H8" s="98">
        <v>1419.6000000000001</v>
      </c>
      <c r="I8" s="98">
        <v>2795.52</v>
      </c>
      <c r="J8" s="98"/>
      <c r="K8" s="98"/>
      <c r="L8" s="98"/>
      <c r="M8" s="98"/>
      <c r="N8" s="98"/>
      <c r="O8" s="98"/>
    </row>
    <row r="9" spans="1:15" x14ac:dyDescent="0.25">
      <c r="A9">
        <v>8</v>
      </c>
      <c r="B9" s="98">
        <v>18.72</v>
      </c>
      <c r="C9" s="98">
        <v>42.120000000000005</v>
      </c>
      <c r="D9" s="98">
        <v>229.58936000000003</v>
      </c>
      <c r="E9" s="98">
        <v>167.99639999999999</v>
      </c>
      <c r="F9" s="98">
        <v>421.21560000000005</v>
      </c>
      <c r="G9" s="98">
        <v>404.16480000000001</v>
      </c>
      <c r="H9" s="98">
        <v>697.13280000000009</v>
      </c>
      <c r="I9" s="98">
        <v>1514.24</v>
      </c>
      <c r="J9" s="98">
        <v>2509.3119999999999</v>
      </c>
      <c r="K9" s="98"/>
      <c r="L9" s="98"/>
      <c r="M9" s="98"/>
      <c r="N9" s="98"/>
      <c r="O9" s="98"/>
    </row>
    <row r="10" spans="1:15" x14ac:dyDescent="0.25">
      <c r="A10">
        <v>9</v>
      </c>
      <c r="B10" s="98">
        <v>32.5</v>
      </c>
      <c r="C10" s="98">
        <v>76.731200000000001</v>
      </c>
      <c r="D10" s="98">
        <v>232.18624000000003</v>
      </c>
      <c r="E10" s="98">
        <v>330.2</v>
      </c>
      <c r="F10" s="98">
        <v>652.2879999999999</v>
      </c>
      <c r="G10" s="98">
        <v>778.75200000000007</v>
      </c>
      <c r="H10" s="98">
        <v>1394.2188000000003</v>
      </c>
      <c r="I10" s="98">
        <v>4644.6400000000003</v>
      </c>
      <c r="J10" s="98"/>
      <c r="K10" s="98"/>
      <c r="L10" s="98"/>
      <c r="M10" s="98"/>
      <c r="N10" s="98"/>
      <c r="O10" s="98"/>
    </row>
    <row r="11" spans="1:15" x14ac:dyDescent="0.25"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B2" sqref="B2:B62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>
        <v>0</v>
      </c>
      <c r="B2" s="99">
        <v>0.4</v>
      </c>
    </row>
    <row r="3" spans="1:2" x14ac:dyDescent="0.25">
      <c r="A3">
        <v>1</v>
      </c>
      <c r="B3" s="99">
        <v>0.59670454606758705</v>
      </c>
    </row>
    <row r="4" spans="1:2" x14ac:dyDescent="0.25">
      <c r="A4">
        <v>2</v>
      </c>
      <c r="B4" s="99">
        <v>0.89011675112661803</v>
      </c>
    </row>
    <row r="5" spans="1:2" x14ac:dyDescent="0.25">
      <c r="A5">
        <v>3</v>
      </c>
      <c r="B5" s="99">
        <v>1.32775395331777</v>
      </c>
    </row>
    <row r="6" spans="1:2" x14ac:dyDescent="0.25">
      <c r="A6">
        <v>4</v>
      </c>
      <c r="B6" s="99">
        <v>1.9804492963440801</v>
      </c>
    </row>
    <row r="7" spans="1:2" x14ac:dyDescent="0.25">
      <c r="A7">
        <v>5</v>
      </c>
      <c r="B7" s="99">
        <v>2.9537581778688899</v>
      </c>
    </row>
    <row r="8" spans="1:2" x14ac:dyDescent="0.25">
      <c r="A8">
        <v>6</v>
      </c>
      <c r="B8" s="99">
        <v>4.4049139628675897</v>
      </c>
    </row>
    <row r="9" spans="1:2" x14ac:dyDescent="0.25">
      <c r="A9">
        <v>7</v>
      </c>
      <c r="B9" s="99">
        <v>6.5680195318449304</v>
      </c>
    </row>
    <row r="10" spans="1:2" x14ac:dyDescent="0.25">
      <c r="A10">
        <v>8</v>
      </c>
      <c r="B10" s="99">
        <v>9.7915016755131195</v>
      </c>
    </row>
    <row r="11" spans="1:2" x14ac:dyDescent="0.25">
      <c r="A11">
        <v>9</v>
      </c>
      <c r="B11" s="99">
        <v>14.5940357830629</v>
      </c>
    </row>
    <row r="12" spans="1:2" x14ac:dyDescent="0.25">
      <c r="A12">
        <v>10</v>
      </c>
      <c r="B12" s="99">
        <v>21.749133883215102</v>
      </c>
    </row>
    <row r="13" spans="1:2" x14ac:dyDescent="0.25">
      <c r="A13">
        <v>11</v>
      </c>
      <c r="B13" s="99">
        <v>32.417120010980597</v>
      </c>
    </row>
    <row r="14" spans="1:2" x14ac:dyDescent="0.25">
      <c r="A14">
        <v>12</v>
      </c>
      <c r="B14" s="99">
        <v>48.364093219061502</v>
      </c>
    </row>
    <row r="15" spans="1:2" x14ac:dyDescent="0.25">
      <c r="A15">
        <v>13</v>
      </c>
      <c r="B15" s="99">
        <v>72.360164382072199</v>
      </c>
    </row>
    <row r="16" spans="1:2" x14ac:dyDescent="0.25">
      <c r="A16">
        <v>14</v>
      </c>
      <c r="B16" s="99">
        <v>108.95280012494</v>
      </c>
    </row>
    <row r="17" spans="1:2" x14ac:dyDescent="0.25">
      <c r="A17">
        <v>15</v>
      </c>
      <c r="B17" s="99">
        <v>165.411544512072</v>
      </c>
    </row>
    <row r="18" spans="1:2" x14ac:dyDescent="0.25">
      <c r="A18">
        <v>16</v>
      </c>
      <c r="B18" s="99">
        <v>220.12063328421101</v>
      </c>
    </row>
    <row r="19" spans="1:2" x14ac:dyDescent="0.25">
      <c r="A19">
        <v>17</v>
      </c>
      <c r="B19" s="99">
        <v>245.56006456785701</v>
      </c>
    </row>
    <row r="20" spans="1:2" x14ac:dyDescent="0.25">
      <c r="A20">
        <v>18</v>
      </c>
      <c r="B20" s="99">
        <v>282.47358097884398</v>
      </c>
    </row>
    <row r="21" spans="1:2" x14ac:dyDescent="0.25">
      <c r="A21">
        <v>19</v>
      </c>
      <c r="B21" s="99">
        <v>337.18349435014198</v>
      </c>
    </row>
    <row r="22" spans="1:2" x14ac:dyDescent="0.25">
      <c r="A22">
        <v>20</v>
      </c>
      <c r="B22" s="99">
        <v>415.12723305027799</v>
      </c>
    </row>
    <row r="23" spans="1:2" x14ac:dyDescent="0.25">
      <c r="A23">
        <v>21</v>
      </c>
      <c r="B23" s="99">
        <v>522.88495002794605</v>
      </c>
    </row>
    <row r="24" spans="1:2" x14ac:dyDescent="0.25">
      <c r="A24">
        <v>22</v>
      </c>
      <c r="B24" s="99">
        <v>668.04640244812595</v>
      </c>
    </row>
    <row r="25" spans="1:2" x14ac:dyDescent="0.25">
      <c r="A25">
        <v>23</v>
      </c>
      <c r="B25" s="99">
        <v>858.31246286097701</v>
      </c>
    </row>
    <row r="26" spans="1:2" x14ac:dyDescent="0.25">
      <c r="A26">
        <v>24</v>
      </c>
      <c r="B26" s="99">
        <v>1099.78350188272</v>
      </c>
    </row>
    <row r="27" spans="1:2" x14ac:dyDescent="0.25">
      <c r="A27">
        <v>25</v>
      </c>
      <c r="B27" s="99">
        <v>1394.51306460255</v>
      </c>
    </row>
    <row r="28" spans="1:2" x14ac:dyDescent="0.25">
      <c r="A28">
        <v>26</v>
      </c>
      <c r="B28" s="99">
        <v>1737.9199728103799</v>
      </c>
    </row>
    <row r="29" spans="1:2" x14ac:dyDescent="0.25">
      <c r="A29">
        <v>27</v>
      </c>
      <c r="B29" s="99">
        <v>2117.28169307804</v>
      </c>
    </row>
    <row r="30" spans="1:2" x14ac:dyDescent="0.25">
      <c r="A30">
        <v>28</v>
      </c>
      <c r="B30" s="99">
        <v>2512.6675536184698</v>
      </c>
    </row>
    <row r="31" spans="1:2" x14ac:dyDescent="0.25">
      <c r="A31">
        <v>29</v>
      </c>
      <c r="B31" s="99">
        <v>2900.71147527108</v>
      </c>
    </row>
    <row r="32" spans="1:2" x14ac:dyDescent="0.25">
      <c r="A32">
        <v>30</v>
      </c>
      <c r="B32" s="99">
        <v>3259.89889150421</v>
      </c>
    </row>
    <row r="33" spans="1:2" x14ac:dyDescent="0.25">
      <c r="A33">
        <v>31</v>
      </c>
      <c r="B33" s="99">
        <v>3574.9782692900799</v>
      </c>
    </row>
    <row r="34" spans="1:2" x14ac:dyDescent="0.25">
      <c r="A34">
        <v>32</v>
      </c>
      <c r="B34" s="99">
        <v>3838.7536734953101</v>
      </c>
    </row>
    <row r="35" spans="1:2" x14ac:dyDescent="0.25">
      <c r="A35">
        <v>33</v>
      </c>
      <c r="B35" s="99">
        <v>4051.21379555577</v>
      </c>
    </row>
    <row r="36" spans="1:2" x14ac:dyDescent="0.25">
      <c r="A36">
        <v>34</v>
      </c>
      <c r="B36" s="99">
        <v>4217.1948601767899</v>
      </c>
    </row>
    <row r="37" spans="1:2" x14ac:dyDescent="0.25">
      <c r="A37">
        <v>35</v>
      </c>
      <c r="B37" s="99">
        <v>4343.89516381474</v>
      </c>
    </row>
    <row r="38" spans="1:2" x14ac:dyDescent="0.25">
      <c r="A38">
        <v>36</v>
      </c>
      <c r="B38" s="99">
        <v>4438.99598804569</v>
      </c>
    </row>
    <row r="39" spans="1:2" x14ac:dyDescent="0.25">
      <c r="A39">
        <v>37</v>
      </c>
      <c r="B39" s="99">
        <v>4509.5559884293398</v>
      </c>
    </row>
    <row r="40" spans="1:2" x14ac:dyDescent="0.25">
      <c r="A40">
        <v>38</v>
      </c>
      <c r="B40" s="99">
        <v>4561.5272626154701</v>
      </c>
    </row>
    <row r="41" spans="1:2" x14ac:dyDescent="0.25">
      <c r="A41">
        <v>39</v>
      </c>
      <c r="B41" s="99">
        <v>4599.66248855904</v>
      </c>
    </row>
    <row r="42" spans="1:2" x14ac:dyDescent="0.25">
      <c r="A42">
        <v>40</v>
      </c>
      <c r="B42" s="99">
        <v>4627.6218083475596</v>
      </c>
    </row>
    <row r="43" spans="1:2" x14ac:dyDescent="0.25">
      <c r="A43">
        <v>41</v>
      </c>
      <c r="B43" s="99">
        <v>4648.1557484315899</v>
      </c>
    </row>
    <row r="44" spans="1:2" x14ac:dyDescent="0.25">
      <c r="A44">
        <v>42</v>
      </c>
      <c r="B44" s="99">
        <v>4663.2970221497499</v>
      </c>
    </row>
    <row r="45" spans="1:2" x14ac:dyDescent="0.25">
      <c r="A45">
        <v>43</v>
      </c>
      <c r="B45" s="99">
        <v>4674.53092687153</v>
      </c>
    </row>
    <row r="46" spans="1:2" x14ac:dyDescent="0.25">
      <c r="A46">
        <v>44</v>
      </c>
      <c r="B46" s="99">
        <v>4682.9346220301204</v>
      </c>
    </row>
    <row r="47" spans="1:2" x14ac:dyDescent="0.25">
      <c r="A47">
        <v>45</v>
      </c>
      <c r="B47" s="99">
        <v>4689.2855631340699</v>
      </c>
    </row>
    <row r="48" spans="1:2" x14ac:dyDescent="0.25">
      <c r="A48">
        <v>46</v>
      </c>
      <c r="B48" s="99">
        <v>4694.1433759515303</v>
      </c>
    </row>
    <row r="49" spans="1:2" x14ac:dyDescent="0.25">
      <c r="A49">
        <v>47</v>
      </c>
      <c r="B49" s="99">
        <v>4697.9104478255704</v>
      </c>
    </row>
    <row r="50" spans="1:2" x14ac:dyDescent="0.25">
      <c r="A50">
        <v>48</v>
      </c>
      <c r="B50" s="99">
        <v>4700.8761695086996</v>
      </c>
    </row>
    <row r="51" spans="1:2" x14ac:dyDescent="0.25">
      <c r="A51">
        <v>49</v>
      </c>
      <c r="B51" s="99">
        <v>4703.24894685652</v>
      </c>
    </row>
    <row r="52" spans="1:2" x14ac:dyDescent="0.25">
      <c r="A52">
        <v>50</v>
      </c>
      <c r="B52" s="99">
        <v>4705.1792220776897</v>
      </c>
    </row>
    <row r="53" spans="1:2" x14ac:dyDescent="0.25">
      <c r="A53">
        <v>51</v>
      </c>
      <c r="B53" s="99">
        <v>4706.7759627504402</v>
      </c>
    </row>
    <row r="54" spans="1:2" x14ac:dyDescent="0.25">
      <c r="A54">
        <v>52</v>
      </c>
      <c r="B54" s="99">
        <v>4708.1184424638004</v>
      </c>
    </row>
    <row r="55" spans="1:2" x14ac:dyDescent="0.25">
      <c r="A55">
        <v>53</v>
      </c>
      <c r="B55" s="99">
        <v>4709.2646457625196</v>
      </c>
    </row>
    <row r="56" spans="1:2" x14ac:dyDescent="0.25">
      <c r="A56">
        <v>54</v>
      </c>
      <c r="B56" s="99">
        <v>4710.2572615812096</v>
      </c>
    </row>
    <row r="57" spans="1:2" x14ac:dyDescent="0.25">
      <c r="A57">
        <v>55</v>
      </c>
      <c r="B57" s="99">
        <v>4711.1279579306301</v>
      </c>
    </row>
    <row r="58" spans="1:2" x14ac:dyDescent="0.25">
      <c r="A58">
        <v>56</v>
      </c>
      <c r="B58" s="99">
        <v>4711.9004332328404</v>
      </c>
    </row>
    <row r="59" spans="1:2" x14ac:dyDescent="0.25">
      <c r="A59">
        <v>57</v>
      </c>
      <c r="B59" s="99">
        <v>4712.5925974585698</v>
      </c>
    </row>
    <row r="60" spans="1:2" x14ac:dyDescent="0.25">
      <c r="A60">
        <v>58</v>
      </c>
      <c r="B60" s="99">
        <v>4713.2181342881404</v>
      </c>
    </row>
    <row r="61" spans="1:2" x14ac:dyDescent="0.25">
      <c r="A61">
        <v>59</v>
      </c>
      <c r="B61" s="99">
        <v>4713.7876227000197</v>
      </c>
    </row>
    <row r="62" spans="1:2" x14ac:dyDescent="0.25">
      <c r="A62">
        <v>60</v>
      </c>
      <c r="B62" s="99">
        <v>4714.3093448258596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B12" sqref="B12:O12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 s="101">
        <v>1</v>
      </c>
      <c r="B2" s="98">
        <v>24.96</v>
      </c>
      <c r="C2" s="98">
        <v>9.36</v>
      </c>
      <c r="D2" s="98">
        <v>39</v>
      </c>
      <c r="E2" s="98">
        <v>14.040000000000001</v>
      </c>
      <c r="F2" s="98">
        <v>145.43359999999998</v>
      </c>
      <c r="G2" s="98">
        <v>101.92</v>
      </c>
      <c r="H2" s="98">
        <v>127.4</v>
      </c>
      <c r="I2" s="98">
        <v>93.600000000000009</v>
      </c>
      <c r="J2" s="98">
        <v>93.600000000000009</v>
      </c>
      <c r="K2" s="98">
        <v>127.4</v>
      </c>
      <c r="L2" s="98">
        <v>479.23200000000003</v>
      </c>
      <c r="M2" s="98">
        <v>1280.9815200000003</v>
      </c>
      <c r="N2" s="98">
        <v>1719.3540000000003</v>
      </c>
      <c r="O2" s="98">
        <v>2588.3000000000006</v>
      </c>
    </row>
    <row r="3" spans="1:15" x14ac:dyDescent="0.25">
      <c r="A3">
        <v>2</v>
      </c>
      <c r="B3" s="98">
        <v>23.400000000000002</v>
      </c>
      <c r="C3" s="98">
        <v>21.060000000000002</v>
      </c>
      <c r="D3" s="98">
        <v>54.287999999999997</v>
      </c>
      <c r="E3" s="98">
        <v>79.17</v>
      </c>
      <c r="F3" s="98">
        <v>26</v>
      </c>
      <c r="G3" s="98">
        <v>0</v>
      </c>
      <c r="H3" s="98">
        <v>0</v>
      </c>
      <c r="I3" s="98">
        <v>0</v>
      </c>
      <c r="J3" s="98">
        <v>0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</row>
    <row r="4" spans="1:15" x14ac:dyDescent="0.25">
      <c r="A4">
        <v>3</v>
      </c>
      <c r="B4" s="98">
        <v>14.040000000000001</v>
      </c>
      <c r="C4" s="98">
        <v>20.8</v>
      </c>
      <c r="D4" s="98">
        <v>46.800000000000004</v>
      </c>
      <c r="E4" s="98">
        <v>52</v>
      </c>
      <c r="F4" s="98">
        <v>93.600000000000009</v>
      </c>
      <c r="G4" s="98">
        <v>189.69600000000003</v>
      </c>
      <c r="H4" s="98">
        <v>273.50959999999998</v>
      </c>
      <c r="I4" s="98">
        <v>599.04</v>
      </c>
      <c r="J4" s="98">
        <v>1170</v>
      </c>
      <c r="K4" s="98">
        <v>2568.8000000000002</v>
      </c>
      <c r="L4" s="98"/>
      <c r="M4" s="98"/>
      <c r="N4" s="98"/>
      <c r="O4" s="98"/>
    </row>
    <row r="5" spans="1:15" x14ac:dyDescent="0.25">
      <c r="A5">
        <v>4</v>
      </c>
      <c r="B5" s="98">
        <v>14.56</v>
      </c>
      <c r="C5" s="98">
        <v>15.600000000000001</v>
      </c>
      <c r="D5" s="98">
        <v>50.96</v>
      </c>
      <c r="E5" s="98">
        <v>26</v>
      </c>
      <c r="F5" s="98">
        <v>26</v>
      </c>
      <c r="G5" s="98">
        <v>0</v>
      </c>
      <c r="H5" s="98">
        <v>14.040000000000001</v>
      </c>
      <c r="I5" s="98">
        <v>0</v>
      </c>
      <c r="J5" s="98">
        <v>0</v>
      </c>
      <c r="K5" s="98">
        <v>0</v>
      </c>
      <c r="L5" s="98">
        <v>39</v>
      </c>
      <c r="M5" s="98">
        <v>137.30079999999998</v>
      </c>
      <c r="N5" s="98">
        <v>374.77440000000001</v>
      </c>
      <c r="O5" s="98">
        <v>1067.69</v>
      </c>
    </row>
    <row r="6" spans="1:15" x14ac:dyDescent="0.25">
      <c r="A6">
        <v>5</v>
      </c>
      <c r="B6" s="98">
        <v>20.8</v>
      </c>
      <c r="C6" s="98">
        <v>11.700000000000001</v>
      </c>
      <c r="D6" s="98">
        <v>37.44</v>
      </c>
      <c r="E6" s="98">
        <v>26</v>
      </c>
      <c r="F6" s="98">
        <v>39</v>
      </c>
      <c r="G6" s="98">
        <v>39</v>
      </c>
      <c r="H6" s="98">
        <v>114.036</v>
      </c>
      <c r="I6" s="98">
        <v>127.4</v>
      </c>
      <c r="J6" s="98">
        <v>409.57279999999997</v>
      </c>
      <c r="K6" s="98">
        <v>987.36299999999994</v>
      </c>
      <c r="L6" s="98">
        <v>3302.2080000000001</v>
      </c>
      <c r="M6" s="98"/>
      <c r="N6" s="98"/>
      <c r="O6" s="98"/>
    </row>
    <row r="7" spans="1:15" x14ac:dyDescent="0.25">
      <c r="A7">
        <v>6</v>
      </c>
      <c r="B7" s="98">
        <v>14.040000000000001</v>
      </c>
      <c r="C7" s="98">
        <v>26.324999999999999</v>
      </c>
      <c r="D7" s="98">
        <v>44.927999999999997</v>
      </c>
      <c r="E7" s="98">
        <v>40.767999999999994</v>
      </c>
      <c r="F7" s="98">
        <v>37.44</v>
      </c>
      <c r="G7" s="98">
        <v>26</v>
      </c>
      <c r="H7" s="98">
        <v>26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98">
        <v>0</v>
      </c>
    </row>
    <row r="8" spans="1:15" x14ac:dyDescent="0.25">
      <c r="A8">
        <v>7</v>
      </c>
      <c r="B8" s="98">
        <v>72.8</v>
      </c>
      <c r="C8" s="98">
        <v>52</v>
      </c>
      <c r="D8" s="98">
        <v>39</v>
      </c>
      <c r="E8" s="98">
        <v>39</v>
      </c>
      <c r="F8" s="98">
        <v>39</v>
      </c>
      <c r="G8" s="98">
        <v>52</v>
      </c>
      <c r="H8" s="98">
        <v>65</v>
      </c>
      <c r="I8" s="98">
        <v>14.040000000000001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</row>
    <row r="9" spans="1:15" x14ac:dyDescent="0.25">
      <c r="A9">
        <v>8</v>
      </c>
      <c r="B9" s="98">
        <v>39</v>
      </c>
      <c r="C9" s="98">
        <v>15.600000000000001</v>
      </c>
      <c r="D9" s="98">
        <v>46.800000000000004</v>
      </c>
      <c r="E9" s="98">
        <v>26</v>
      </c>
      <c r="F9" s="98">
        <v>26</v>
      </c>
      <c r="G9" s="98">
        <v>26</v>
      </c>
      <c r="H9" s="98">
        <v>65</v>
      </c>
      <c r="I9" s="98">
        <v>26</v>
      </c>
      <c r="J9" s="98">
        <v>26</v>
      </c>
      <c r="K9" s="98">
        <v>39</v>
      </c>
      <c r="L9" s="98">
        <v>54.6</v>
      </c>
      <c r="M9" s="98">
        <v>65.504400000000004</v>
      </c>
      <c r="N9" s="98">
        <v>225.45432000000002</v>
      </c>
      <c r="O9" s="98">
        <v>786.24</v>
      </c>
    </row>
    <row r="10" spans="1:15" x14ac:dyDescent="0.25">
      <c r="A10">
        <v>9</v>
      </c>
      <c r="B10" s="98">
        <v>52</v>
      </c>
      <c r="C10" s="98">
        <v>26.324999999999999</v>
      </c>
      <c r="D10" s="98">
        <v>62.582000000000001</v>
      </c>
      <c r="E10" s="98">
        <v>62.582000000000001</v>
      </c>
      <c r="F10" s="98">
        <v>66.830399999999997</v>
      </c>
      <c r="G10" s="98">
        <v>124.85200000000002</v>
      </c>
      <c r="H10" s="98">
        <v>203.86080000000001</v>
      </c>
      <c r="I10" s="98">
        <v>599.04</v>
      </c>
      <c r="J10" s="98">
        <v>1251.7356800000002</v>
      </c>
      <c r="K10" s="98">
        <v>2246.4</v>
      </c>
      <c r="L10" s="98"/>
      <c r="M10" s="98"/>
      <c r="N10" s="98"/>
      <c r="O10" s="98"/>
    </row>
    <row r="11" spans="1:15" x14ac:dyDescent="0.25">
      <c r="A11">
        <v>10</v>
      </c>
      <c r="B11" s="98">
        <v>23.400000000000002</v>
      </c>
      <c r="C11" s="98">
        <v>47.36160000000001</v>
      </c>
      <c r="D11" s="98">
        <v>43.68</v>
      </c>
      <c r="E11" s="98">
        <v>49.92</v>
      </c>
      <c r="F11" s="98">
        <v>55.744000000000007</v>
      </c>
      <c r="G11" s="98">
        <v>39</v>
      </c>
      <c r="H11" s="98">
        <v>65</v>
      </c>
      <c r="I11" s="98">
        <v>87.36</v>
      </c>
      <c r="J11" s="98">
        <v>116.48</v>
      </c>
      <c r="K11" s="98">
        <v>197.35300000000004</v>
      </c>
      <c r="L11" s="98">
        <v>698.88</v>
      </c>
      <c r="M11" s="98">
        <v>1229.75216</v>
      </c>
      <c r="N11" s="98">
        <v>2637.8606800000002</v>
      </c>
      <c r="O11" s="98"/>
    </row>
    <row r="12" spans="1:15" x14ac:dyDescent="0.25">
      <c r="A12" t="s">
        <v>93</v>
      </c>
      <c r="B12">
        <v>29.9</v>
      </c>
      <c r="C12">
        <v>24.613160000000001</v>
      </c>
      <c r="D12">
        <v>46.547800000000002</v>
      </c>
      <c r="E12">
        <v>41.548000000000002</v>
      </c>
      <c r="F12">
        <v>55.504800000000003</v>
      </c>
      <c r="G12">
        <v>59.846800000000009</v>
      </c>
      <c r="H12">
        <v>95.384640000000005</v>
      </c>
      <c r="I12">
        <v>154.64799999999997</v>
      </c>
      <c r="J12">
        <v>306.73884800000002</v>
      </c>
      <c r="K12">
        <v>609.75160000000005</v>
      </c>
      <c r="L12">
        <v>877.1712</v>
      </c>
      <c r="M12">
        <v>1021.353888</v>
      </c>
      <c r="N12">
        <v>1231.9582720000001</v>
      </c>
      <c r="O12">
        <v>1435.393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B2" sqref="B2:B62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>
        <v>0</v>
      </c>
      <c r="B2" s="99">
        <v>0.4</v>
      </c>
    </row>
    <row r="3" spans="1:2" x14ac:dyDescent="0.25">
      <c r="A3">
        <v>1</v>
      </c>
      <c r="B3" s="99">
        <v>0.59670454606758705</v>
      </c>
    </row>
    <row r="4" spans="1:2" x14ac:dyDescent="0.25">
      <c r="A4">
        <v>2</v>
      </c>
      <c r="B4" s="99">
        <v>0.89011675112661803</v>
      </c>
    </row>
    <row r="5" spans="1:2" x14ac:dyDescent="0.25">
      <c r="A5">
        <v>3</v>
      </c>
      <c r="B5" s="99">
        <v>1.32775395331777</v>
      </c>
    </row>
    <row r="6" spans="1:2" x14ac:dyDescent="0.25">
      <c r="A6">
        <v>4</v>
      </c>
      <c r="B6" s="99">
        <v>1.9804492963440801</v>
      </c>
    </row>
    <row r="7" spans="1:2" x14ac:dyDescent="0.25">
      <c r="A7">
        <v>5</v>
      </c>
      <c r="B7" s="99">
        <v>2.9537581778688899</v>
      </c>
    </row>
    <row r="8" spans="1:2" x14ac:dyDescent="0.25">
      <c r="A8">
        <v>6</v>
      </c>
      <c r="B8" s="99">
        <v>4.4049139628675897</v>
      </c>
    </row>
    <row r="9" spans="1:2" x14ac:dyDescent="0.25">
      <c r="A9">
        <v>7</v>
      </c>
      <c r="B9" s="99">
        <v>6.5680195318449304</v>
      </c>
    </row>
    <row r="10" spans="1:2" x14ac:dyDescent="0.25">
      <c r="A10">
        <v>8</v>
      </c>
      <c r="B10" s="99">
        <v>5.6145605726302499</v>
      </c>
    </row>
    <row r="11" spans="1:2" x14ac:dyDescent="0.25">
      <c r="A11">
        <v>9</v>
      </c>
      <c r="B11" s="99">
        <v>4.8061421977543599</v>
      </c>
    </row>
    <row r="12" spans="1:2" x14ac:dyDescent="0.25">
      <c r="A12">
        <v>10</v>
      </c>
      <c r="B12" s="99">
        <v>4.2860946323343798</v>
      </c>
    </row>
    <row r="13" spans="1:2" x14ac:dyDescent="0.25">
      <c r="A13">
        <v>11</v>
      </c>
      <c r="B13" s="99">
        <v>3.4390294021352701</v>
      </c>
    </row>
    <row r="14" spans="1:2" x14ac:dyDescent="0.25">
      <c r="A14">
        <v>12</v>
      </c>
      <c r="B14" s="99">
        <v>2.9286581365375901</v>
      </c>
    </row>
    <row r="15" spans="1:2" x14ac:dyDescent="0.25">
      <c r="A15">
        <v>13</v>
      </c>
      <c r="B15" s="99">
        <v>2.6089546145097602</v>
      </c>
    </row>
    <row r="16" spans="1:2" x14ac:dyDescent="0.25">
      <c r="A16">
        <v>14</v>
      </c>
      <c r="B16" s="99">
        <v>2.1710247220943</v>
      </c>
    </row>
    <row r="17" spans="1:2" x14ac:dyDescent="0.25">
      <c r="A17">
        <v>15</v>
      </c>
      <c r="B17" s="99">
        <v>1.89331870603486</v>
      </c>
    </row>
    <row r="18" spans="1:2" x14ac:dyDescent="0.25">
      <c r="A18">
        <v>16</v>
      </c>
      <c r="B18" s="99">
        <v>1.7142279386666499</v>
      </c>
    </row>
    <row r="19" spans="1:2" x14ac:dyDescent="0.25">
      <c r="A19">
        <v>17</v>
      </c>
      <c r="B19" s="99">
        <v>1.6008361092097101</v>
      </c>
    </row>
    <row r="20" spans="1:2" x14ac:dyDescent="0.25">
      <c r="A20">
        <v>18</v>
      </c>
      <c r="B20" s="99">
        <v>1.53497449588423</v>
      </c>
    </row>
    <row r="21" spans="1:2" x14ac:dyDescent="0.25">
      <c r="A21">
        <v>19</v>
      </c>
      <c r="B21" s="99">
        <v>1.5063270312127</v>
      </c>
    </row>
    <row r="22" spans="1:2" x14ac:dyDescent="0.25">
      <c r="A22">
        <v>20</v>
      </c>
      <c r="B22" s="99">
        <v>1.5091914371473001</v>
      </c>
    </row>
    <row r="23" spans="1:2" x14ac:dyDescent="0.25">
      <c r="A23">
        <v>21</v>
      </c>
      <c r="B23" s="99">
        <v>1.5408628566720299</v>
      </c>
    </row>
    <row r="24" spans="1:2" x14ac:dyDescent="0.25">
      <c r="A24">
        <v>22</v>
      </c>
      <c r="B24" s="99">
        <v>1.60081832699755</v>
      </c>
    </row>
    <row r="25" spans="1:2" x14ac:dyDescent="0.25">
      <c r="A25">
        <v>23</v>
      </c>
      <c r="B25" s="99">
        <v>1.69034190254742</v>
      </c>
    </row>
    <row r="26" spans="1:2" x14ac:dyDescent="0.25">
      <c r="A26">
        <v>24</v>
      </c>
      <c r="B26" s="99">
        <v>1.81242697238154</v>
      </c>
    </row>
    <row r="27" spans="1:2" x14ac:dyDescent="0.25">
      <c r="A27">
        <v>25</v>
      </c>
      <c r="B27" s="99">
        <v>1.97188630984076</v>
      </c>
    </row>
    <row r="28" spans="1:2" x14ac:dyDescent="0.25">
      <c r="A28">
        <v>26</v>
      </c>
      <c r="B28" s="99">
        <v>2.1756524857148398</v>
      </c>
    </row>
    <row r="29" spans="1:2" x14ac:dyDescent="0.25">
      <c r="A29">
        <v>27</v>
      </c>
      <c r="B29" s="99">
        <v>2.4332871990317102</v>
      </c>
    </row>
    <row r="30" spans="1:2" x14ac:dyDescent="0.25">
      <c r="A30">
        <v>28</v>
      </c>
      <c r="B30" s="99">
        <v>2.75775060482423</v>
      </c>
    </row>
    <row r="31" spans="1:2" x14ac:dyDescent="0.25">
      <c r="A31">
        <v>29</v>
      </c>
      <c r="B31" s="99">
        <v>3.1665190483764998</v>
      </c>
    </row>
    <row r="32" spans="1:2" x14ac:dyDescent="0.25">
      <c r="A32">
        <v>30</v>
      </c>
      <c r="B32" s="99">
        <v>3.6831891015129701</v>
      </c>
    </row>
    <row r="33" spans="1:2" x14ac:dyDescent="0.25">
      <c r="A33">
        <v>31</v>
      </c>
      <c r="B33" s="99">
        <v>4.33977607122611</v>
      </c>
    </row>
    <row r="34" spans="1:2" x14ac:dyDescent="0.25">
      <c r="A34">
        <v>32</v>
      </c>
      <c r="B34" s="99">
        <v>5.1800178295992598</v>
      </c>
    </row>
    <row r="35" spans="1:2" x14ac:dyDescent="0.25">
      <c r="A35">
        <v>33</v>
      </c>
      <c r="B35" s="99">
        <v>6.2641462105686996</v>
      </c>
    </row>
    <row r="36" spans="1:2" x14ac:dyDescent="0.25">
      <c r="A36">
        <v>34</v>
      </c>
      <c r="B36" s="99">
        <v>7.6758111548444301</v>
      </c>
    </row>
    <row r="37" spans="1:2" x14ac:dyDescent="0.25">
      <c r="A37">
        <v>35</v>
      </c>
      <c r="B37" s="99">
        <v>9.5321681827515707</v>
      </c>
    </row>
    <row r="38" spans="1:2" x14ac:dyDescent="0.25">
      <c r="A38">
        <v>36</v>
      </c>
      <c r="B38" s="99">
        <v>11.9986071497219</v>
      </c>
    </row>
    <row r="39" spans="1:2" x14ac:dyDescent="0.25">
      <c r="A39">
        <v>37</v>
      </c>
      <c r="B39" s="99">
        <v>15.310255274530601</v>
      </c>
    </row>
    <row r="40" spans="1:2" x14ac:dyDescent="0.25">
      <c r="A40">
        <v>38</v>
      </c>
      <c r="B40" s="99">
        <v>19.803273613053499</v>
      </c>
    </row>
    <row r="41" spans="1:2" x14ac:dyDescent="0.25">
      <c r="A41">
        <v>39</v>
      </c>
      <c r="B41" s="99">
        <v>25.960105931454098</v>
      </c>
    </row>
    <row r="42" spans="1:2" x14ac:dyDescent="0.25">
      <c r="A42">
        <v>40</v>
      </c>
      <c r="B42" s="99">
        <v>34.474197681356401</v>
      </c>
    </row>
    <row r="43" spans="1:2" x14ac:dyDescent="0.25">
      <c r="A43">
        <v>41</v>
      </c>
      <c r="B43" s="99">
        <v>46.341122936438602</v>
      </c>
    </row>
    <row r="44" spans="1:2" x14ac:dyDescent="0.25">
      <c r="A44">
        <v>42</v>
      </c>
      <c r="B44" s="99">
        <v>62.984132443044899</v>
      </c>
    </row>
    <row r="45" spans="1:2" x14ac:dyDescent="0.25">
      <c r="A45">
        <v>43</v>
      </c>
      <c r="B45" s="99">
        <v>86.421955842357704</v>
      </c>
    </row>
    <row r="46" spans="1:2" x14ac:dyDescent="0.25">
      <c r="A46">
        <v>44</v>
      </c>
      <c r="B46" s="99">
        <v>119.483332931025</v>
      </c>
    </row>
    <row r="47" spans="1:2" x14ac:dyDescent="0.25">
      <c r="A47">
        <v>45</v>
      </c>
      <c r="B47" s="99">
        <v>166.06240733449999</v>
      </c>
    </row>
    <row r="48" spans="1:2" x14ac:dyDescent="0.25">
      <c r="A48">
        <v>46</v>
      </c>
      <c r="B48" s="99">
        <v>231.38504966346599</v>
      </c>
    </row>
    <row r="49" spans="1:2" x14ac:dyDescent="0.25">
      <c r="A49">
        <v>47</v>
      </c>
      <c r="B49" s="99">
        <v>322.20860550917899</v>
      </c>
    </row>
    <row r="50" spans="1:2" x14ac:dyDescent="0.25">
      <c r="A50">
        <v>48</v>
      </c>
      <c r="B50" s="99">
        <v>446.79780069535298</v>
      </c>
    </row>
    <row r="51" spans="1:2" x14ac:dyDescent="0.25">
      <c r="A51">
        <v>49</v>
      </c>
      <c r="B51" s="99">
        <v>614.41489250646896</v>
      </c>
    </row>
    <row r="52" spans="1:2" x14ac:dyDescent="0.25">
      <c r="A52">
        <v>50</v>
      </c>
      <c r="B52" s="99">
        <v>833.98815555883402</v>
      </c>
    </row>
    <row r="53" spans="1:2" x14ac:dyDescent="0.25">
      <c r="A53">
        <v>51</v>
      </c>
      <c r="B53" s="99">
        <v>1111.7202499099801</v>
      </c>
    </row>
    <row r="54" spans="1:2" x14ac:dyDescent="0.25">
      <c r="A54">
        <v>52</v>
      </c>
      <c r="B54" s="99">
        <v>1447.86326319775</v>
      </c>
    </row>
    <row r="55" spans="1:2" x14ac:dyDescent="0.25">
      <c r="A55">
        <v>53</v>
      </c>
      <c r="B55" s="99">
        <v>1833.7497335318601</v>
      </c>
    </row>
    <row r="56" spans="1:2" x14ac:dyDescent="0.25">
      <c r="A56">
        <v>54</v>
      </c>
      <c r="B56" s="99">
        <v>2250.9222814364298</v>
      </c>
    </row>
    <row r="57" spans="1:2" x14ac:dyDescent="0.25">
      <c r="A57">
        <v>55</v>
      </c>
      <c r="B57" s="99">
        <v>2673.84756352467</v>
      </c>
    </row>
    <row r="58" spans="1:2" x14ac:dyDescent="0.25">
      <c r="A58">
        <v>56</v>
      </c>
      <c r="B58" s="99">
        <v>3075.7864474063199</v>
      </c>
    </row>
    <row r="59" spans="1:2" x14ac:dyDescent="0.25">
      <c r="A59">
        <v>57</v>
      </c>
      <c r="B59" s="99">
        <v>3435.1901284615601</v>
      </c>
    </row>
    <row r="60" spans="1:2" x14ac:dyDescent="0.25">
      <c r="A60">
        <v>58</v>
      </c>
      <c r="B60" s="99">
        <v>3739.61288711006</v>
      </c>
    </row>
    <row r="61" spans="1:2" x14ac:dyDescent="0.25">
      <c r="A61">
        <v>59</v>
      </c>
      <c r="B61" s="99">
        <v>3985.9710172780101</v>
      </c>
    </row>
    <row r="62" spans="1:2" x14ac:dyDescent="0.25">
      <c r="A62">
        <v>60</v>
      </c>
      <c r="B62" s="99">
        <v>4178.1693996508602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M21" sqref="M2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 s="101">
        <v>1</v>
      </c>
      <c r="B2" s="98">
        <v>39</v>
      </c>
      <c r="C2" s="98">
        <v>63.647999999999996</v>
      </c>
      <c r="D2" s="98">
        <v>70.574399999999997</v>
      </c>
      <c r="E2" s="98">
        <v>84.118319999999997</v>
      </c>
      <c r="F2" s="98">
        <v>261.03168000000005</v>
      </c>
      <c r="G2" s="98">
        <v>389.37600000000003</v>
      </c>
      <c r="H2" s="98">
        <v>664.41647999999998</v>
      </c>
      <c r="I2" s="98">
        <v>1138.9248</v>
      </c>
      <c r="J2" s="98">
        <v>1778.4</v>
      </c>
      <c r="K2" s="98">
        <v>3028.6385999999998</v>
      </c>
      <c r="L2" s="98"/>
      <c r="M2" s="98"/>
      <c r="N2" s="98"/>
      <c r="O2" s="98"/>
    </row>
    <row r="3" spans="1:15" x14ac:dyDescent="0.25">
      <c r="A3">
        <v>2</v>
      </c>
      <c r="B3" s="98">
        <v>24.96</v>
      </c>
      <c r="C3" s="98">
        <v>39</v>
      </c>
      <c r="D3" s="98">
        <v>24.96</v>
      </c>
      <c r="E3" s="98">
        <v>65</v>
      </c>
      <c r="F3" s="98">
        <v>147.78399999999999</v>
      </c>
      <c r="G3" s="98">
        <v>260.90220000000005</v>
      </c>
      <c r="H3" s="98">
        <v>564.26656000000003</v>
      </c>
      <c r="I3" s="98">
        <v>1014</v>
      </c>
      <c r="J3" s="98">
        <v>2450.4479999999999</v>
      </c>
      <c r="K3" s="98"/>
      <c r="L3" s="98"/>
      <c r="M3" s="98"/>
      <c r="N3" s="98"/>
      <c r="O3" s="98"/>
    </row>
    <row r="4" spans="1:15" x14ac:dyDescent="0.25">
      <c r="A4">
        <v>3</v>
      </c>
      <c r="B4" s="98">
        <v>37.44</v>
      </c>
      <c r="C4" s="98">
        <v>37.44</v>
      </c>
      <c r="D4" s="98">
        <v>72.540000000000006</v>
      </c>
      <c r="E4" s="98">
        <v>102.297</v>
      </c>
      <c r="F4" s="98">
        <v>330.96959999999996</v>
      </c>
      <c r="G4" s="98">
        <v>524.07472000000007</v>
      </c>
      <c r="H4" s="98">
        <v>1191.8088</v>
      </c>
      <c r="I4" s="98">
        <v>1900.0800000000002</v>
      </c>
      <c r="J4" s="98">
        <v>2983.5</v>
      </c>
      <c r="K4" s="98"/>
      <c r="L4" s="98"/>
      <c r="M4" s="98"/>
      <c r="N4" s="98"/>
      <c r="O4" s="98"/>
    </row>
    <row r="5" spans="1:15" x14ac:dyDescent="0.25">
      <c r="A5">
        <v>4</v>
      </c>
      <c r="B5" s="98">
        <v>14.040000000000001</v>
      </c>
      <c r="C5" s="98">
        <v>9.36</v>
      </c>
      <c r="D5" s="98">
        <v>24.96</v>
      </c>
      <c r="E5" s="98">
        <v>52</v>
      </c>
      <c r="F5" s="98">
        <v>93.600000000000009</v>
      </c>
      <c r="G5" s="98">
        <v>93.600000000000009</v>
      </c>
      <c r="H5" s="98">
        <v>312.31200000000001</v>
      </c>
      <c r="I5" s="98">
        <v>673.92000000000007</v>
      </c>
      <c r="J5" s="98">
        <v>1847.04</v>
      </c>
      <c r="K5" s="98">
        <v>3265.08</v>
      </c>
      <c r="L5" s="98"/>
      <c r="M5" s="98"/>
      <c r="N5" s="98"/>
      <c r="O5" s="98"/>
    </row>
    <row r="6" spans="1:15" x14ac:dyDescent="0.25">
      <c r="A6">
        <v>5</v>
      </c>
      <c r="B6" s="98">
        <v>18.72</v>
      </c>
      <c r="C6" s="98">
        <v>24.96</v>
      </c>
      <c r="D6" s="98">
        <v>41.6</v>
      </c>
      <c r="E6" s="98">
        <v>52</v>
      </c>
      <c r="F6" s="98">
        <v>14.040000000000001</v>
      </c>
      <c r="G6" s="98">
        <v>39</v>
      </c>
      <c r="H6" s="98">
        <v>65</v>
      </c>
      <c r="I6" s="98">
        <v>65</v>
      </c>
      <c r="J6" s="98">
        <v>127.4</v>
      </c>
      <c r="K6" s="98">
        <v>166.4</v>
      </c>
      <c r="L6" s="98">
        <v>337.48</v>
      </c>
      <c r="M6" s="98">
        <v>1031.0976000000001</v>
      </c>
      <c r="N6" s="98">
        <v>1271.5559999999998</v>
      </c>
      <c r="O6" s="98">
        <v>3852.0767999999998</v>
      </c>
    </row>
    <row r="7" spans="1:15" x14ac:dyDescent="0.25">
      <c r="A7">
        <v>6</v>
      </c>
      <c r="B7" s="98">
        <v>18.72</v>
      </c>
      <c r="C7" s="98">
        <v>24.96</v>
      </c>
      <c r="D7" s="98">
        <v>35.1</v>
      </c>
      <c r="E7" s="98">
        <v>60.403199999999998</v>
      </c>
      <c r="F7" s="98">
        <v>33.28</v>
      </c>
      <c r="G7" s="98">
        <v>65</v>
      </c>
      <c r="H7" s="98">
        <v>131.04</v>
      </c>
      <c r="I7" s="98">
        <v>166.4</v>
      </c>
      <c r="J7" s="98">
        <v>202.87800000000001</v>
      </c>
      <c r="K7" s="98">
        <v>524.16</v>
      </c>
      <c r="L7" s="98">
        <v>652.28800000000012</v>
      </c>
      <c r="M7" s="98">
        <v>2061.2280000000001</v>
      </c>
      <c r="N7" s="98"/>
      <c r="O7" s="98"/>
    </row>
    <row r="8" spans="1:15" x14ac:dyDescent="0.25">
      <c r="A8">
        <v>7</v>
      </c>
      <c r="B8" s="98">
        <v>23.400000000000002</v>
      </c>
      <c r="C8" s="98">
        <v>45.5</v>
      </c>
      <c r="D8" s="98">
        <v>39</v>
      </c>
      <c r="E8" s="98">
        <v>65</v>
      </c>
      <c r="F8" s="98">
        <v>127.4</v>
      </c>
      <c r="G8" s="98">
        <v>94.27600000000001</v>
      </c>
      <c r="H8" s="98">
        <v>349.44</v>
      </c>
      <c r="I8" s="98">
        <v>1135.68</v>
      </c>
      <c r="J8" s="98">
        <v>1887.6000000000001</v>
      </c>
      <c r="K8" s="98">
        <v>3277.0399999999995</v>
      </c>
      <c r="L8" s="98"/>
      <c r="M8" s="98"/>
      <c r="N8" s="98"/>
      <c r="O8" s="98"/>
    </row>
    <row r="9" spans="1:15" x14ac:dyDescent="0.25">
      <c r="A9">
        <v>8</v>
      </c>
      <c r="B9" s="98">
        <v>24.96</v>
      </c>
      <c r="C9" s="98">
        <v>39</v>
      </c>
      <c r="D9" s="98">
        <v>71.728799999999993</v>
      </c>
      <c r="E9" s="98">
        <v>134.68</v>
      </c>
      <c r="F9" s="98">
        <v>327.60000000000002</v>
      </c>
      <c r="G9" s="98">
        <v>240.44800000000004</v>
      </c>
      <c r="H9" s="98">
        <v>379.6</v>
      </c>
      <c r="I9" s="98">
        <v>582.4</v>
      </c>
      <c r="J9" s="98">
        <v>2311.92</v>
      </c>
      <c r="K9" s="98"/>
      <c r="L9" s="98"/>
      <c r="M9" s="98"/>
      <c r="N9" s="98"/>
      <c r="O9" s="98"/>
    </row>
    <row r="10" spans="1:15" x14ac:dyDescent="0.25">
      <c r="A10">
        <v>9</v>
      </c>
      <c r="B10" s="98">
        <v>43.68</v>
      </c>
      <c r="C10" s="98">
        <v>42.120000000000005</v>
      </c>
      <c r="D10" s="98">
        <v>50.050000000000004</v>
      </c>
      <c r="E10" s="98">
        <v>50.107200000000006</v>
      </c>
      <c r="F10" s="98">
        <v>64.396799999999985</v>
      </c>
      <c r="G10" s="98">
        <v>92.794520000000006</v>
      </c>
      <c r="H10" s="98">
        <v>202.1448</v>
      </c>
      <c r="I10" s="98">
        <v>680.16</v>
      </c>
      <c r="J10" s="98">
        <v>924.76799999999992</v>
      </c>
      <c r="K10" s="98">
        <v>1812.0960000000002</v>
      </c>
      <c r="L10" s="98">
        <v>3679.52</v>
      </c>
      <c r="M10" s="98"/>
      <c r="N10" s="98"/>
      <c r="O10" s="98"/>
    </row>
    <row r="11" spans="1:15" x14ac:dyDescent="0.25">
      <c r="A11" t="s">
        <v>93</v>
      </c>
      <c r="B11" s="98">
        <v>27.213333333333338</v>
      </c>
      <c r="C11" s="98">
        <v>36.220888888888886</v>
      </c>
      <c r="D11" s="98">
        <v>47.834800000000001</v>
      </c>
      <c r="E11" s="98">
        <v>73.956191111111096</v>
      </c>
      <c r="F11" s="98">
        <v>155.5668977777778</v>
      </c>
      <c r="G11" s="98">
        <v>199.94127111111115</v>
      </c>
      <c r="H11" s="98">
        <v>428.89207111111108</v>
      </c>
      <c r="I11" s="98">
        <v>817.39608888888881</v>
      </c>
      <c r="J11" s="98">
        <v>1558.9393333333333</v>
      </c>
      <c r="K11" s="98">
        <v>1944.7395555555554</v>
      </c>
      <c r="L11" s="98">
        <v>2054.4186666666665</v>
      </c>
      <c r="M11" s="98">
        <v>2288.036177777778</v>
      </c>
      <c r="N11" s="98">
        <v>2363.5062222222223</v>
      </c>
      <c r="O11" s="98">
        <v>2500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B2" sqref="B2:B62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>
        <v>0</v>
      </c>
      <c r="B2" s="99">
        <v>0.4</v>
      </c>
    </row>
    <row r="3" spans="1:2" x14ac:dyDescent="0.25">
      <c r="A3">
        <v>1</v>
      </c>
      <c r="B3" s="99">
        <v>0.59670454606758705</v>
      </c>
    </row>
    <row r="4" spans="1:2" x14ac:dyDescent="0.25">
      <c r="A4">
        <v>2</v>
      </c>
      <c r="B4" s="99">
        <v>0.89011675112661803</v>
      </c>
    </row>
    <row r="5" spans="1:2" x14ac:dyDescent="0.25">
      <c r="A5">
        <v>3</v>
      </c>
      <c r="B5" s="99">
        <v>1.32775395331777</v>
      </c>
    </row>
    <row r="6" spans="1:2" x14ac:dyDescent="0.25">
      <c r="A6">
        <v>4</v>
      </c>
      <c r="B6" s="99">
        <v>1.9804492963440801</v>
      </c>
    </row>
    <row r="7" spans="1:2" x14ac:dyDescent="0.25">
      <c r="A7">
        <v>5</v>
      </c>
      <c r="B7" s="99">
        <v>2.9537581778688899</v>
      </c>
    </row>
    <row r="8" spans="1:2" x14ac:dyDescent="0.25">
      <c r="A8">
        <v>6</v>
      </c>
      <c r="B8" s="99">
        <v>4.4049139628675897</v>
      </c>
    </row>
    <row r="9" spans="1:2" x14ac:dyDescent="0.25">
      <c r="A9">
        <v>7</v>
      </c>
      <c r="B9" s="99">
        <v>6.5680195318449304</v>
      </c>
    </row>
    <row r="10" spans="1:2" x14ac:dyDescent="0.25">
      <c r="A10">
        <v>8</v>
      </c>
      <c r="B10" s="99">
        <v>9.7912215758988097</v>
      </c>
    </row>
    <row r="11" spans="1:2" x14ac:dyDescent="0.25">
      <c r="A11">
        <v>9</v>
      </c>
      <c r="B11" s="99">
        <v>14.5933107469584</v>
      </c>
    </row>
    <row r="12" spans="1:2" x14ac:dyDescent="0.25">
      <c r="A12">
        <v>10</v>
      </c>
      <c r="B12" s="99">
        <v>21.747701320884801</v>
      </c>
    </row>
    <row r="13" spans="1:2" x14ac:dyDescent="0.25">
      <c r="A13">
        <v>11</v>
      </c>
      <c r="B13" s="99">
        <v>32.397732411652797</v>
      </c>
    </row>
    <row r="14" spans="1:2" x14ac:dyDescent="0.25">
      <c r="A14">
        <v>12</v>
      </c>
      <c r="B14" s="99">
        <v>48.310348564151802</v>
      </c>
    </row>
    <row r="15" spans="1:2" x14ac:dyDescent="0.25">
      <c r="A15">
        <v>13</v>
      </c>
      <c r="B15" s="99">
        <v>72.236136979423307</v>
      </c>
    </row>
    <row r="16" spans="1:2" x14ac:dyDescent="0.25">
      <c r="A16">
        <v>14</v>
      </c>
      <c r="B16" s="99">
        <v>81.950035192723107</v>
      </c>
    </row>
    <row r="17" spans="1:2" x14ac:dyDescent="0.25">
      <c r="A17">
        <v>15</v>
      </c>
      <c r="B17" s="99">
        <v>83.136854654887401</v>
      </c>
    </row>
    <row r="18" spans="1:2" x14ac:dyDescent="0.25">
      <c r="A18">
        <v>16</v>
      </c>
      <c r="B18" s="99">
        <v>85.102014923637199</v>
      </c>
    </row>
    <row r="19" spans="1:2" x14ac:dyDescent="0.25">
      <c r="A19">
        <v>17</v>
      </c>
      <c r="B19" s="99">
        <v>88.708841773942893</v>
      </c>
    </row>
    <row r="20" spans="1:2" x14ac:dyDescent="0.25">
      <c r="A20">
        <v>18</v>
      </c>
      <c r="B20" s="99">
        <v>94.457439440814397</v>
      </c>
    </row>
    <row r="21" spans="1:2" x14ac:dyDescent="0.25">
      <c r="A21">
        <v>19</v>
      </c>
      <c r="B21" s="99">
        <v>102.90211991500399</v>
      </c>
    </row>
    <row r="22" spans="1:2" x14ac:dyDescent="0.25">
      <c r="A22">
        <v>20</v>
      </c>
      <c r="B22" s="99">
        <v>114.78293003996799</v>
      </c>
    </row>
    <row r="23" spans="1:2" x14ac:dyDescent="0.25">
      <c r="A23">
        <v>21</v>
      </c>
      <c r="B23" s="99">
        <v>131.133579268387</v>
      </c>
    </row>
    <row r="24" spans="1:2" x14ac:dyDescent="0.25">
      <c r="A24">
        <v>22</v>
      </c>
      <c r="B24" s="99">
        <v>153.40780322642601</v>
      </c>
    </row>
    <row r="25" spans="1:2" x14ac:dyDescent="0.25">
      <c r="A25">
        <v>23</v>
      </c>
      <c r="B25" s="99">
        <v>183.63964958408201</v>
      </c>
    </row>
    <row r="26" spans="1:2" x14ac:dyDescent="0.25">
      <c r="A26">
        <v>24</v>
      </c>
      <c r="B26" s="99">
        <v>224.64216396291999</v>
      </c>
    </row>
    <row r="27" spans="1:2" x14ac:dyDescent="0.25">
      <c r="A27">
        <v>25</v>
      </c>
      <c r="B27" s="99">
        <v>280.23297750750999</v>
      </c>
    </row>
    <row r="28" spans="1:2" x14ac:dyDescent="0.25">
      <c r="A28">
        <v>26</v>
      </c>
      <c r="B28" s="99">
        <v>355.44548447980202</v>
      </c>
    </row>
    <row r="29" spans="1:2" x14ac:dyDescent="0.25">
      <c r="A29">
        <v>27</v>
      </c>
      <c r="B29" s="99">
        <v>456.63432778439699</v>
      </c>
    </row>
    <row r="30" spans="1:2" x14ac:dyDescent="0.25">
      <c r="A30">
        <v>28</v>
      </c>
      <c r="B30" s="99">
        <v>591.31448529655995</v>
      </c>
    </row>
    <row r="31" spans="1:2" x14ac:dyDescent="0.25">
      <c r="A31">
        <v>29</v>
      </c>
      <c r="B31" s="99">
        <v>767.50445065433996</v>
      </c>
    </row>
    <row r="32" spans="1:2" x14ac:dyDescent="0.25">
      <c r="A32">
        <v>30</v>
      </c>
      <c r="B32" s="99">
        <v>992.33471037217703</v>
      </c>
    </row>
    <row r="33" spans="1:2" x14ac:dyDescent="0.25">
      <c r="A33">
        <v>31</v>
      </c>
      <c r="B33" s="99">
        <v>1269.8421212928299</v>
      </c>
    </row>
    <row r="34" spans="1:2" x14ac:dyDescent="0.25">
      <c r="A34">
        <v>32</v>
      </c>
      <c r="B34" s="99">
        <v>1598.3099431445</v>
      </c>
    </row>
    <row r="35" spans="1:2" x14ac:dyDescent="0.25">
      <c r="A35">
        <v>33</v>
      </c>
      <c r="B35" s="99">
        <v>1968.1691193643701</v>
      </c>
    </row>
    <row r="36" spans="1:2" x14ac:dyDescent="0.25">
      <c r="A36">
        <v>34</v>
      </c>
      <c r="B36" s="99">
        <v>2361.89168905219</v>
      </c>
    </row>
    <row r="37" spans="1:2" x14ac:dyDescent="0.25">
      <c r="A37">
        <v>35</v>
      </c>
      <c r="B37" s="99">
        <v>2756.7817058434698</v>
      </c>
    </row>
    <row r="38" spans="1:2" x14ac:dyDescent="0.25">
      <c r="A38">
        <v>36</v>
      </c>
      <c r="B38" s="99">
        <v>3129.9875302639398</v>
      </c>
    </row>
    <row r="39" spans="1:2" x14ac:dyDescent="0.25">
      <c r="A39">
        <v>37</v>
      </c>
      <c r="B39" s="99">
        <v>3463.5469645114299</v>
      </c>
    </row>
    <row r="40" spans="1:2" x14ac:dyDescent="0.25">
      <c r="A40">
        <v>38</v>
      </c>
      <c r="B40" s="99">
        <v>3747.2679598802802</v>
      </c>
    </row>
    <row r="41" spans="1:2" x14ac:dyDescent="0.25">
      <c r="A41">
        <v>39</v>
      </c>
      <c r="B41" s="99">
        <v>3978.7437707638301</v>
      </c>
    </row>
    <row r="42" spans="1:2" x14ac:dyDescent="0.25">
      <c r="A42">
        <v>40</v>
      </c>
      <c r="B42" s="99">
        <v>4161.3744687335002</v>
      </c>
    </row>
    <row r="43" spans="1:2" x14ac:dyDescent="0.25">
      <c r="A43">
        <v>41</v>
      </c>
      <c r="B43" s="99">
        <v>4301.7975374726302</v>
      </c>
    </row>
    <row r="44" spans="1:2" x14ac:dyDescent="0.25">
      <c r="A44">
        <v>42</v>
      </c>
      <c r="B44" s="99">
        <v>4407.7292688542802</v>
      </c>
    </row>
    <row r="45" spans="1:2" x14ac:dyDescent="0.25">
      <c r="A45">
        <v>43</v>
      </c>
      <c r="B45" s="99">
        <v>4486.5768514393003</v>
      </c>
    </row>
    <row r="46" spans="1:2" x14ac:dyDescent="0.25">
      <c r="A46">
        <v>44</v>
      </c>
      <c r="B46" s="99">
        <v>4544.7515335163098</v>
      </c>
    </row>
    <row r="47" spans="1:2" x14ac:dyDescent="0.25">
      <c r="A47">
        <v>45</v>
      </c>
      <c r="B47" s="99">
        <v>4587.4589849917102</v>
      </c>
    </row>
    <row r="48" spans="1:2" x14ac:dyDescent="0.25">
      <c r="A48">
        <v>46</v>
      </c>
      <c r="B48" s="99">
        <v>4618.7527347019104</v>
      </c>
    </row>
    <row r="49" spans="1:2" x14ac:dyDescent="0.25">
      <c r="A49">
        <v>47</v>
      </c>
      <c r="B49" s="99">
        <v>4641.7014377322703</v>
      </c>
    </row>
    <row r="50" spans="1:2" x14ac:dyDescent="0.25">
      <c r="A50">
        <v>48</v>
      </c>
      <c r="B50" s="99">
        <v>4658.58399036219</v>
      </c>
    </row>
    <row r="51" spans="1:2" x14ac:dyDescent="0.25">
      <c r="A51">
        <v>49</v>
      </c>
      <c r="B51" s="99">
        <v>4671.0708147004798</v>
      </c>
    </row>
    <row r="52" spans="1:2" x14ac:dyDescent="0.25">
      <c r="A52">
        <v>50</v>
      </c>
      <c r="B52" s="99">
        <v>4680.3756361878904</v>
      </c>
    </row>
    <row r="53" spans="1:2" x14ac:dyDescent="0.25">
      <c r="A53">
        <v>51</v>
      </c>
      <c r="B53" s="99">
        <v>4687.3753531947696</v>
      </c>
    </row>
    <row r="54" spans="1:2" x14ac:dyDescent="0.25">
      <c r="A54">
        <v>52</v>
      </c>
      <c r="B54" s="99">
        <v>4692.7013653787799</v>
      </c>
    </row>
    <row r="55" spans="1:2" x14ac:dyDescent="0.25">
      <c r="A55">
        <v>53</v>
      </c>
      <c r="B55" s="99">
        <v>4696.8075564174296</v>
      </c>
    </row>
    <row r="56" spans="1:2" x14ac:dyDescent="0.25">
      <c r="A56">
        <v>54</v>
      </c>
      <c r="B56" s="99">
        <v>4700.0201211979802</v>
      </c>
    </row>
    <row r="57" spans="1:2" x14ac:dyDescent="0.25">
      <c r="A57">
        <v>55</v>
      </c>
      <c r="B57" s="99">
        <v>4702.57370666509</v>
      </c>
    </row>
    <row r="58" spans="1:2" x14ac:dyDescent="0.25">
      <c r="A58">
        <v>56</v>
      </c>
      <c r="B58" s="99">
        <v>4704.6374414767697</v>
      </c>
    </row>
    <row r="59" spans="1:2" x14ac:dyDescent="0.25">
      <c r="A59">
        <v>57</v>
      </c>
      <c r="B59" s="99">
        <v>4706.3335955071698</v>
      </c>
    </row>
    <row r="60" spans="1:2" x14ac:dyDescent="0.25">
      <c r="A60">
        <v>58</v>
      </c>
      <c r="B60" s="99">
        <v>4707.7509157965496</v>
      </c>
    </row>
    <row r="61" spans="1:2" x14ac:dyDescent="0.25">
      <c r="A61">
        <v>59</v>
      </c>
      <c r="B61" s="99">
        <v>4708.9541410012798</v>
      </c>
    </row>
    <row r="62" spans="1:2" x14ac:dyDescent="0.25">
      <c r="A62">
        <v>60</v>
      </c>
      <c r="B62" s="99">
        <v>4709.9907837200999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11" sqref="B11:O1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9.36</v>
      </c>
      <c r="C2" s="98">
        <v>45.24</v>
      </c>
      <c r="D2" s="98">
        <v>45.473999999999997</v>
      </c>
      <c r="E2" s="98">
        <v>109.2</v>
      </c>
      <c r="F2" s="98">
        <v>237.21984000000003</v>
      </c>
      <c r="G2" s="98">
        <v>98.28</v>
      </c>
      <c r="H2" s="98">
        <v>301.392</v>
      </c>
      <c r="I2" s="98">
        <v>750.46399999999994</v>
      </c>
      <c r="J2" s="98">
        <v>1921.92</v>
      </c>
      <c r="K2" s="98">
        <v>2412.8000000000002</v>
      </c>
      <c r="L2" s="98"/>
      <c r="M2" s="98"/>
      <c r="N2" s="98"/>
      <c r="O2" s="98"/>
    </row>
    <row r="3" spans="1:15" x14ac:dyDescent="0.25">
      <c r="A3">
        <v>2</v>
      </c>
      <c r="B3" s="98">
        <v>15.600000000000001</v>
      </c>
      <c r="C3" s="98">
        <v>57.283200000000001</v>
      </c>
      <c r="D3" s="98">
        <v>118.31040000000002</v>
      </c>
      <c r="E3" s="98">
        <v>249.60000000000002</v>
      </c>
      <c r="F3" s="98">
        <v>301.43880000000001</v>
      </c>
      <c r="G3" s="98">
        <v>291.2</v>
      </c>
      <c r="H3" s="98">
        <v>814.24199999999996</v>
      </c>
      <c r="I3" s="98">
        <v>1179.3600000000001</v>
      </c>
      <c r="J3" s="98">
        <v>2762.76</v>
      </c>
      <c r="K3" s="98"/>
      <c r="L3" s="98"/>
      <c r="M3" s="98"/>
      <c r="N3" s="98"/>
      <c r="O3" s="98"/>
    </row>
    <row r="4" spans="1:15" x14ac:dyDescent="0.25">
      <c r="A4">
        <v>3</v>
      </c>
      <c r="B4" s="98">
        <v>14.040000000000001</v>
      </c>
      <c r="C4" s="98">
        <v>109.512</v>
      </c>
      <c r="D4" s="98">
        <v>240.084</v>
      </c>
      <c r="E4" s="98">
        <v>187.20000000000002</v>
      </c>
      <c r="F4" s="98">
        <v>503.19360000000006</v>
      </c>
      <c r="G4" s="98">
        <v>364</v>
      </c>
      <c r="H4" s="98">
        <v>821.18399999999997</v>
      </c>
      <c r="I4" s="98">
        <v>1292.9280000000001</v>
      </c>
      <c r="J4" s="98">
        <v>2302.56</v>
      </c>
      <c r="K4" s="98"/>
      <c r="L4" s="98"/>
      <c r="M4" s="98"/>
      <c r="N4" s="98"/>
      <c r="O4" s="98"/>
    </row>
    <row r="5" spans="1:15" x14ac:dyDescent="0.25">
      <c r="A5">
        <v>4</v>
      </c>
      <c r="B5" s="98">
        <v>14.040000000000001</v>
      </c>
      <c r="C5" s="98">
        <v>109.2</v>
      </c>
      <c r="D5" s="98">
        <v>134.22708</v>
      </c>
      <c r="E5" s="98">
        <v>208</v>
      </c>
      <c r="F5" s="98">
        <v>306.8</v>
      </c>
      <c r="G5" s="98">
        <v>91</v>
      </c>
      <c r="H5" s="98">
        <v>93.600000000000009</v>
      </c>
      <c r="I5" s="98">
        <v>178.36</v>
      </c>
      <c r="J5" s="98">
        <v>364</v>
      </c>
      <c r="K5" s="98">
        <v>1172.9640000000002</v>
      </c>
      <c r="L5" s="98">
        <v>1619.0928000000001</v>
      </c>
      <c r="M5" s="98">
        <v>4688.470800000001</v>
      </c>
      <c r="N5" s="98"/>
      <c r="O5" s="98"/>
    </row>
    <row r="6" spans="1:15" x14ac:dyDescent="0.25">
      <c r="A6">
        <v>5</v>
      </c>
      <c r="B6" s="98">
        <v>39</v>
      </c>
      <c r="C6" s="98">
        <v>14.040000000000001</v>
      </c>
      <c r="D6" s="98">
        <v>14.040000000000001</v>
      </c>
      <c r="E6" s="98">
        <v>14.040000000000001</v>
      </c>
      <c r="F6" s="98">
        <v>14.040000000000001</v>
      </c>
      <c r="G6" s="98">
        <v>14.040000000000001</v>
      </c>
      <c r="H6" s="98">
        <v>14.040000000000001</v>
      </c>
      <c r="I6" s="98">
        <v>14.040000000000001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</row>
    <row r="7" spans="1:15" x14ac:dyDescent="0.25">
      <c r="A7" s="101">
        <v>6</v>
      </c>
      <c r="B7" s="98">
        <v>24.96</v>
      </c>
      <c r="C7" s="98">
        <v>52.78</v>
      </c>
      <c r="D7" s="98">
        <v>39</v>
      </c>
      <c r="E7" s="98">
        <v>87.36</v>
      </c>
      <c r="F7" s="98">
        <v>127.4</v>
      </c>
      <c r="G7" s="98">
        <v>187.85</v>
      </c>
      <c r="H7" s="98">
        <v>332.46719999999999</v>
      </c>
      <c r="I7" s="98">
        <v>364</v>
      </c>
      <c r="J7" s="98">
        <v>312</v>
      </c>
      <c r="K7" s="98">
        <v>1118.4991999999997</v>
      </c>
      <c r="L7" s="98">
        <v>2704</v>
      </c>
      <c r="M7" s="98"/>
      <c r="N7" s="98"/>
      <c r="O7" s="98"/>
    </row>
    <row r="8" spans="1:15" x14ac:dyDescent="0.25">
      <c r="A8">
        <v>7</v>
      </c>
      <c r="B8" s="98">
        <v>52</v>
      </c>
      <c r="C8" s="98">
        <v>57.2</v>
      </c>
      <c r="D8" s="98">
        <v>39</v>
      </c>
      <c r="E8" s="98">
        <v>65</v>
      </c>
      <c r="F8" s="98">
        <v>24.96</v>
      </c>
      <c r="G8" s="98">
        <v>138.11200000000002</v>
      </c>
      <c r="H8" s="98">
        <v>396.39600000000002</v>
      </c>
      <c r="I8" s="98">
        <v>1146.6000000000001</v>
      </c>
      <c r="J8" s="98">
        <v>2196.3240000000001</v>
      </c>
      <c r="K8" s="98"/>
      <c r="L8" s="98"/>
      <c r="M8" s="98"/>
      <c r="N8" s="98"/>
      <c r="O8" s="98"/>
    </row>
    <row r="9" spans="1:15" x14ac:dyDescent="0.25">
      <c r="A9">
        <v>8</v>
      </c>
      <c r="B9" s="98">
        <v>39</v>
      </c>
      <c r="C9" s="98">
        <v>73.84</v>
      </c>
      <c r="D9" s="98">
        <v>52.623999999999995</v>
      </c>
      <c r="E9" s="98">
        <v>93.600000000000009</v>
      </c>
      <c r="F9" s="98">
        <v>52</v>
      </c>
      <c r="G9" s="98">
        <v>62.400000000000006</v>
      </c>
      <c r="H9" s="98">
        <v>65</v>
      </c>
      <c r="I9" s="98">
        <v>145.6</v>
      </c>
      <c r="J9" s="98">
        <v>288.78720000000004</v>
      </c>
      <c r="K9" s="98">
        <v>480.48</v>
      </c>
      <c r="L9" s="98">
        <v>979.68000000000006</v>
      </c>
      <c r="M9" s="98">
        <v>1814.8130000000001</v>
      </c>
      <c r="N9" s="98">
        <v>2881.0079999999998</v>
      </c>
      <c r="O9" s="98"/>
    </row>
    <row r="10" spans="1:15" x14ac:dyDescent="0.25">
      <c r="A10">
        <v>9</v>
      </c>
      <c r="B10" s="98">
        <v>14.040000000000001</v>
      </c>
      <c r="C10" s="98">
        <v>39</v>
      </c>
      <c r="D10" s="98">
        <v>74.88</v>
      </c>
      <c r="E10" s="98">
        <v>39</v>
      </c>
      <c r="F10" s="98">
        <v>24.96</v>
      </c>
      <c r="G10" s="98">
        <v>56.160000000000004</v>
      </c>
      <c r="H10" s="98">
        <v>101.92</v>
      </c>
      <c r="I10" s="98">
        <v>216.32</v>
      </c>
      <c r="J10" s="98">
        <v>312</v>
      </c>
      <c r="K10" s="98">
        <v>569.08799999999997</v>
      </c>
      <c r="L10" s="98">
        <v>758.83912000000021</v>
      </c>
      <c r="M10" s="98">
        <v>2785.9852800000003</v>
      </c>
      <c r="N10" s="98"/>
      <c r="O10" s="98"/>
    </row>
    <row r="11" spans="1:15" x14ac:dyDescent="0.25">
      <c r="A11" t="s">
        <v>93</v>
      </c>
      <c r="B11">
        <v>24.671111111111109</v>
      </c>
      <c r="C11">
        <v>62.010577777777776</v>
      </c>
      <c r="D11">
        <v>84.182164444444439</v>
      </c>
      <c r="E11">
        <v>117</v>
      </c>
      <c r="F11">
        <v>176.89024888888892</v>
      </c>
      <c r="G11">
        <v>144.78244444444445</v>
      </c>
      <c r="H11">
        <v>326.69346666666667</v>
      </c>
      <c r="I11">
        <v>587.51911111111121</v>
      </c>
      <c r="J11">
        <v>1133.0656888888889</v>
      </c>
      <c r="K11">
        <v>1472.6479111111112</v>
      </c>
      <c r="L11">
        <v>1761.9568800000002</v>
      </c>
      <c r="M11">
        <v>2146.0903333333335</v>
      </c>
      <c r="N11">
        <v>2222.2222222222222</v>
      </c>
      <c r="O11">
        <v>2222.2222222222222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B2" sqref="B2:B62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>
        <v>0</v>
      </c>
      <c r="B2" s="99">
        <v>0.4</v>
      </c>
    </row>
    <row r="3" spans="1:2" x14ac:dyDescent="0.25">
      <c r="A3">
        <v>1</v>
      </c>
      <c r="B3" s="99">
        <v>0.59670454606758705</v>
      </c>
    </row>
    <row r="4" spans="1:2" x14ac:dyDescent="0.25">
      <c r="A4">
        <v>2</v>
      </c>
      <c r="B4" s="99">
        <v>0.89011675112661803</v>
      </c>
    </row>
    <row r="5" spans="1:2" x14ac:dyDescent="0.25">
      <c r="A5">
        <v>3</v>
      </c>
      <c r="B5" s="99">
        <v>1.32775395331777</v>
      </c>
    </row>
    <row r="6" spans="1:2" x14ac:dyDescent="0.25">
      <c r="A6">
        <v>4</v>
      </c>
      <c r="B6" s="99">
        <v>1.9804492963440801</v>
      </c>
    </row>
    <row r="7" spans="1:2" x14ac:dyDescent="0.25">
      <c r="A7">
        <v>5</v>
      </c>
      <c r="B7" s="99">
        <v>2.9537581778688899</v>
      </c>
    </row>
    <row r="8" spans="1:2" x14ac:dyDescent="0.25">
      <c r="A8">
        <v>6</v>
      </c>
      <c r="B8" s="99">
        <v>4.4049139628675897</v>
      </c>
    </row>
    <row r="9" spans="1:2" x14ac:dyDescent="0.25">
      <c r="A9">
        <v>7</v>
      </c>
      <c r="B9" s="99">
        <v>6.5680195318449304</v>
      </c>
    </row>
    <row r="10" spans="1:2" x14ac:dyDescent="0.25">
      <c r="A10">
        <v>8</v>
      </c>
      <c r="B10" s="99">
        <v>9.7895076708344</v>
      </c>
    </row>
    <row r="11" spans="1:2" x14ac:dyDescent="0.25">
      <c r="A11">
        <v>9</v>
      </c>
      <c r="B11" s="99">
        <v>14.579655714883099</v>
      </c>
    </row>
    <row r="12" spans="1:2" x14ac:dyDescent="0.25">
      <c r="A12">
        <v>10</v>
      </c>
      <c r="B12" s="99">
        <v>21.670278329304601</v>
      </c>
    </row>
    <row r="13" spans="1:2" x14ac:dyDescent="0.25">
      <c r="A13">
        <v>11</v>
      </c>
      <c r="B13" s="99">
        <v>31.993504177827099</v>
      </c>
    </row>
    <row r="14" spans="1:2" x14ac:dyDescent="0.25">
      <c r="A14">
        <v>12</v>
      </c>
      <c r="B14" s="99">
        <v>43.576734561160798</v>
      </c>
    </row>
    <row r="15" spans="1:2" x14ac:dyDescent="0.25">
      <c r="A15">
        <v>13</v>
      </c>
      <c r="B15" s="99">
        <v>43.6581873974121</v>
      </c>
    </row>
    <row r="16" spans="1:2" x14ac:dyDescent="0.25">
      <c r="A16">
        <v>14</v>
      </c>
      <c r="B16" s="99">
        <v>43.335131976418502</v>
      </c>
    </row>
    <row r="17" spans="1:2" x14ac:dyDescent="0.25">
      <c r="A17">
        <v>15</v>
      </c>
      <c r="B17" s="99">
        <v>43.258116912568703</v>
      </c>
    </row>
    <row r="18" spans="1:2" x14ac:dyDescent="0.25">
      <c r="A18">
        <v>16</v>
      </c>
      <c r="B18" s="99">
        <v>43.578163707206798</v>
      </c>
    </row>
    <row r="19" spans="1:2" x14ac:dyDescent="0.25">
      <c r="A19">
        <v>17</v>
      </c>
      <c r="B19" s="99">
        <v>44.383648477898497</v>
      </c>
    </row>
    <row r="20" spans="1:2" x14ac:dyDescent="0.25">
      <c r="A20">
        <v>18</v>
      </c>
      <c r="B20" s="99">
        <v>45.753824052505799</v>
      </c>
    </row>
    <row r="21" spans="1:2" x14ac:dyDescent="0.25">
      <c r="A21">
        <v>19</v>
      </c>
      <c r="B21" s="99">
        <v>47.781730089717399</v>
      </c>
    </row>
    <row r="22" spans="1:2" x14ac:dyDescent="0.25">
      <c r="A22">
        <v>20</v>
      </c>
      <c r="B22" s="99">
        <v>50.588318960077899</v>
      </c>
    </row>
    <row r="23" spans="1:2" x14ac:dyDescent="0.25">
      <c r="A23">
        <v>21</v>
      </c>
      <c r="B23" s="99">
        <v>54.336076199974002</v>
      </c>
    </row>
    <row r="24" spans="1:2" x14ac:dyDescent="0.25">
      <c r="A24">
        <v>22</v>
      </c>
      <c r="B24" s="99">
        <v>59.245675407012897</v>
      </c>
    </row>
    <row r="25" spans="1:2" x14ac:dyDescent="0.25">
      <c r="A25">
        <v>23</v>
      </c>
      <c r="B25" s="99">
        <v>65.6183792142605</v>
      </c>
    </row>
    <row r="26" spans="1:2" x14ac:dyDescent="0.25">
      <c r="A26">
        <v>24</v>
      </c>
      <c r="B26" s="99">
        <v>73.867250621886498</v>
      </c>
    </row>
    <row r="27" spans="1:2" x14ac:dyDescent="0.25">
      <c r="A27">
        <v>25</v>
      </c>
      <c r="B27" s="99">
        <v>84.561144892272594</v>
      </c>
    </row>
    <row r="28" spans="1:2" x14ac:dyDescent="0.25">
      <c r="A28">
        <v>26</v>
      </c>
      <c r="B28" s="99">
        <v>98.486714432164206</v>
      </c>
    </row>
    <row r="29" spans="1:2" x14ac:dyDescent="0.25">
      <c r="A29">
        <v>27</v>
      </c>
      <c r="B29" s="99">
        <v>116.735036991981</v>
      </c>
    </row>
    <row r="30" spans="1:2" x14ac:dyDescent="0.25">
      <c r="A30">
        <v>28</v>
      </c>
      <c r="B30" s="99">
        <v>140.82038412971301</v>
      </c>
    </row>
    <row r="31" spans="1:2" x14ac:dyDescent="0.25">
      <c r="A31">
        <v>29</v>
      </c>
      <c r="B31" s="99">
        <v>172.837746240076</v>
      </c>
    </row>
    <row r="32" spans="1:2" x14ac:dyDescent="0.25">
      <c r="A32">
        <v>30</v>
      </c>
      <c r="B32" s="99">
        <v>215.66038395253099</v>
      </c>
    </row>
    <row r="33" spans="1:2" x14ac:dyDescent="0.25">
      <c r="A33">
        <v>31</v>
      </c>
      <c r="B33" s="99">
        <v>273.164407994692</v>
      </c>
    </row>
    <row r="34" spans="1:2" x14ac:dyDescent="0.25">
      <c r="A34">
        <v>32</v>
      </c>
      <c r="B34" s="99">
        <v>350.43798913202198</v>
      </c>
    </row>
    <row r="35" spans="1:2" x14ac:dyDescent="0.25">
      <c r="A35">
        <v>33</v>
      </c>
      <c r="B35" s="99">
        <v>453.88241340806798</v>
      </c>
    </row>
    <row r="36" spans="1:2" x14ac:dyDescent="0.25">
      <c r="A36">
        <v>34</v>
      </c>
      <c r="B36" s="99">
        <v>591.04171696363403</v>
      </c>
    </row>
    <row r="37" spans="1:2" x14ac:dyDescent="0.25">
      <c r="A37">
        <v>35</v>
      </c>
      <c r="B37" s="99">
        <v>769.92816068796401</v>
      </c>
    </row>
    <row r="38" spans="1:2" x14ac:dyDescent="0.25">
      <c r="A38">
        <v>36</v>
      </c>
      <c r="B38" s="99">
        <v>997.603884764653</v>
      </c>
    </row>
    <row r="39" spans="1:2" x14ac:dyDescent="0.25">
      <c r="A39">
        <v>37</v>
      </c>
      <c r="B39" s="99">
        <v>1277.9470900357301</v>
      </c>
    </row>
    <row r="40" spans="1:2" x14ac:dyDescent="0.25">
      <c r="A40">
        <v>38</v>
      </c>
      <c r="B40" s="99">
        <v>1608.98385240382</v>
      </c>
    </row>
    <row r="41" spans="1:2" x14ac:dyDescent="0.25">
      <c r="A41">
        <v>39</v>
      </c>
      <c r="B41" s="99">
        <v>1980.8290562509501</v>
      </c>
    </row>
    <row r="42" spans="1:2" x14ac:dyDescent="0.25">
      <c r="A42">
        <v>40</v>
      </c>
      <c r="B42" s="99">
        <v>2375.6754886231301</v>
      </c>
    </row>
    <row r="43" spans="1:2" x14ac:dyDescent="0.25">
      <c r="A43">
        <v>41</v>
      </c>
      <c r="B43" s="99">
        <v>2770.6978839107101</v>
      </c>
    </row>
    <row r="44" spans="1:2" x14ac:dyDescent="0.25">
      <c r="A44">
        <v>42</v>
      </c>
      <c r="B44" s="99">
        <v>3143.1246165676098</v>
      </c>
    </row>
    <row r="45" spans="1:2" x14ac:dyDescent="0.25">
      <c r="A45">
        <v>43</v>
      </c>
      <c r="B45" s="99">
        <v>3475.2460915964398</v>
      </c>
    </row>
    <row r="46" spans="1:2" x14ac:dyDescent="0.25">
      <c r="A46">
        <v>44</v>
      </c>
      <c r="B46" s="99">
        <v>3757.1910250292699</v>
      </c>
    </row>
    <row r="47" spans="1:2" x14ac:dyDescent="0.25">
      <c r="A47">
        <v>45</v>
      </c>
      <c r="B47" s="99">
        <v>3986.8380974074898</v>
      </c>
    </row>
    <row r="48" spans="1:2" x14ac:dyDescent="0.25">
      <c r="A48">
        <v>46</v>
      </c>
      <c r="B48" s="99">
        <v>4167.7820683051896</v>
      </c>
    </row>
    <row r="49" spans="1:2" x14ac:dyDescent="0.25">
      <c r="A49">
        <v>47</v>
      </c>
      <c r="B49" s="99">
        <v>4306.7595659651597</v>
      </c>
    </row>
    <row r="50" spans="1:2" x14ac:dyDescent="0.25">
      <c r="A50">
        <v>48</v>
      </c>
      <c r="B50" s="99">
        <v>4411.5137357005196</v>
      </c>
    </row>
    <row r="51" spans="1:2" x14ac:dyDescent="0.25">
      <c r="A51">
        <v>49</v>
      </c>
      <c r="B51" s="99">
        <v>4489.4354506026903</v>
      </c>
    </row>
    <row r="52" spans="1:2" x14ac:dyDescent="0.25">
      <c r="A52">
        <v>50</v>
      </c>
      <c r="B52" s="99">
        <v>4546.8998202249304</v>
      </c>
    </row>
    <row r="53" spans="1:2" x14ac:dyDescent="0.25">
      <c r="A53">
        <v>51</v>
      </c>
      <c r="B53" s="99">
        <v>4589.0713594368599</v>
      </c>
    </row>
    <row r="54" spans="1:2" x14ac:dyDescent="0.25">
      <c r="A54">
        <v>52</v>
      </c>
      <c r="B54" s="99">
        <v>4619.9651734094396</v>
      </c>
    </row>
    <row r="55" spans="1:2" x14ac:dyDescent="0.25">
      <c r="A55">
        <v>53</v>
      </c>
      <c r="B55" s="99">
        <v>4642.6173786053696</v>
      </c>
    </row>
    <row r="56" spans="1:2" x14ac:dyDescent="0.25">
      <c r="A56">
        <v>54</v>
      </c>
      <c r="B56" s="99">
        <v>4659.2808339025296</v>
      </c>
    </row>
    <row r="57" spans="1:2" x14ac:dyDescent="0.25">
      <c r="A57">
        <v>55</v>
      </c>
      <c r="B57" s="99">
        <v>4671.6058538609404</v>
      </c>
    </row>
    <row r="58" spans="1:2" x14ac:dyDescent="0.25">
      <c r="A58">
        <v>56</v>
      </c>
      <c r="B58" s="99">
        <v>4680.7909914552602</v>
      </c>
    </row>
    <row r="59" spans="1:2" x14ac:dyDescent="0.25">
      <c r="A59">
        <v>57</v>
      </c>
      <c r="B59" s="99">
        <v>4687.7018708401902</v>
      </c>
    </row>
    <row r="60" spans="1:2" x14ac:dyDescent="0.25">
      <c r="A60">
        <v>58</v>
      </c>
      <c r="B60" s="99">
        <v>4692.9615986638501</v>
      </c>
    </row>
    <row r="61" spans="1:2" x14ac:dyDescent="0.25">
      <c r="A61">
        <v>59</v>
      </c>
      <c r="B61" s="99">
        <v>4697.0179981968404</v>
      </c>
    </row>
    <row r="62" spans="1:2" x14ac:dyDescent="0.25">
      <c r="A62">
        <v>60</v>
      </c>
      <c r="B62" s="99">
        <v>4700.1928528696899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11" sqref="B11:O1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37.44</v>
      </c>
      <c r="C2" s="98">
        <v>38.932920000000003</v>
      </c>
      <c r="D2" s="98">
        <v>48.047999999999995</v>
      </c>
      <c r="E2" s="98">
        <v>83.2</v>
      </c>
      <c r="F2" s="98">
        <v>87.36</v>
      </c>
      <c r="G2" s="98">
        <v>199.68</v>
      </c>
      <c r="H2" s="98">
        <v>151.42400000000001</v>
      </c>
      <c r="I2" s="98">
        <v>65</v>
      </c>
      <c r="J2" s="98">
        <v>166.4</v>
      </c>
      <c r="K2" s="98">
        <v>260</v>
      </c>
      <c r="L2" s="98">
        <v>312</v>
      </c>
      <c r="M2" s="98">
        <v>587.32128000000012</v>
      </c>
      <c r="N2" s="98">
        <v>1358.83176</v>
      </c>
      <c r="O2" s="98">
        <v>3216.9644000000003</v>
      </c>
    </row>
    <row r="3" spans="1:15" x14ac:dyDescent="0.25">
      <c r="A3">
        <v>2</v>
      </c>
      <c r="B3" s="98">
        <v>37.44</v>
      </c>
      <c r="C3" s="98">
        <v>39</v>
      </c>
      <c r="D3" s="98">
        <v>65.52</v>
      </c>
      <c r="E3" s="98">
        <v>184.18399999999997</v>
      </c>
      <c r="F3" s="98">
        <v>93.600000000000009</v>
      </c>
      <c r="G3" s="98">
        <v>317.88899999999995</v>
      </c>
      <c r="H3" s="98">
        <v>195.10400000000001</v>
      </c>
      <c r="I3" s="98">
        <v>1006.2</v>
      </c>
      <c r="J3" s="98">
        <v>548.52096000000006</v>
      </c>
      <c r="K3" s="98">
        <v>1382.5759999999998</v>
      </c>
      <c r="L3" s="98">
        <v>3588</v>
      </c>
      <c r="M3" s="98"/>
      <c r="N3" s="98"/>
      <c r="O3" s="98"/>
    </row>
    <row r="4" spans="1:15" x14ac:dyDescent="0.25">
      <c r="A4">
        <v>3</v>
      </c>
      <c r="B4" s="98">
        <v>23.400000000000002</v>
      </c>
      <c r="C4" s="98">
        <v>31.449600000000004</v>
      </c>
      <c r="D4" s="98">
        <v>65.894400000000005</v>
      </c>
      <c r="E4" s="98">
        <v>174.80736000000002</v>
      </c>
      <c r="F4" s="98">
        <v>190.00799999999998</v>
      </c>
      <c r="G4" s="98">
        <v>374.40000000000003</v>
      </c>
      <c r="H4" s="98">
        <v>462.13439999999997</v>
      </c>
      <c r="I4" s="98">
        <v>1469.5199999999998</v>
      </c>
      <c r="J4" s="98">
        <v>1227.2832000000003</v>
      </c>
      <c r="K4" s="98">
        <v>1731.6000000000001</v>
      </c>
      <c r="L4" s="98">
        <v>4004</v>
      </c>
      <c r="M4" s="98"/>
      <c r="N4" s="98"/>
      <c r="O4" s="98"/>
    </row>
    <row r="5" spans="1:15" x14ac:dyDescent="0.25">
      <c r="A5">
        <v>4</v>
      </c>
      <c r="B5" s="98">
        <v>24.96</v>
      </c>
      <c r="C5" s="98">
        <v>34.444800000000001</v>
      </c>
      <c r="D5" s="98">
        <v>146.43200000000002</v>
      </c>
      <c r="E5" s="98">
        <v>159.27912000000001</v>
      </c>
      <c r="F5" s="98">
        <v>142.68800000000002</v>
      </c>
      <c r="G5" s="98">
        <v>115.1904</v>
      </c>
      <c r="H5" s="98">
        <v>185.85840000000005</v>
      </c>
      <c r="I5" s="98">
        <v>364</v>
      </c>
      <c r="J5" s="98">
        <v>166.4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</row>
    <row r="6" spans="1:15" x14ac:dyDescent="0.25">
      <c r="A6">
        <v>5</v>
      </c>
      <c r="B6" s="98">
        <v>24.96</v>
      </c>
      <c r="C6" s="98">
        <v>49.824319999999993</v>
      </c>
      <c r="D6" s="98">
        <v>128.7936</v>
      </c>
      <c r="E6" s="98">
        <v>367.536</v>
      </c>
      <c r="F6" s="98">
        <v>560.56000000000006</v>
      </c>
      <c r="G6" s="98">
        <v>912.91200000000015</v>
      </c>
      <c r="H6" s="98">
        <v>1034.28</v>
      </c>
      <c r="I6" s="98">
        <v>1670.2920000000001</v>
      </c>
      <c r="J6" s="98">
        <v>3599.96</v>
      </c>
      <c r="K6" s="98"/>
      <c r="L6" s="98"/>
      <c r="M6" s="98"/>
      <c r="N6" s="98"/>
      <c r="O6" s="98"/>
    </row>
    <row r="7" spans="1:15" x14ac:dyDescent="0.25">
      <c r="A7" s="101">
        <v>6</v>
      </c>
      <c r="B7" s="98">
        <v>52</v>
      </c>
      <c r="C7" s="98">
        <v>60.06</v>
      </c>
      <c r="D7" s="98">
        <v>199.92024000000004</v>
      </c>
      <c r="E7" s="98">
        <v>454.68488000000002</v>
      </c>
      <c r="F7" s="98">
        <v>202.63100000000003</v>
      </c>
      <c r="G7" s="98">
        <v>308.65119999999996</v>
      </c>
      <c r="H7" s="98">
        <v>960.95999999999992</v>
      </c>
      <c r="I7" s="98">
        <v>518.17896000000007</v>
      </c>
      <c r="J7" s="98">
        <v>1129.856</v>
      </c>
      <c r="K7" s="98">
        <v>1664</v>
      </c>
      <c r="L7" s="98">
        <v>2373.2800000000002</v>
      </c>
      <c r="M7" s="98"/>
      <c r="N7" s="98"/>
      <c r="O7" s="98"/>
    </row>
    <row r="8" spans="1:15" x14ac:dyDescent="0.25">
      <c r="A8">
        <v>7</v>
      </c>
      <c r="B8" s="98">
        <v>18.72</v>
      </c>
      <c r="C8" s="98">
        <v>43.68</v>
      </c>
      <c r="D8" s="98">
        <v>39</v>
      </c>
      <c r="E8" s="98">
        <v>65</v>
      </c>
      <c r="F8" s="98">
        <v>65</v>
      </c>
      <c r="G8" s="98">
        <v>52</v>
      </c>
      <c r="H8" s="98">
        <v>39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</row>
    <row r="9" spans="1:15" x14ac:dyDescent="0.25">
      <c r="A9">
        <v>8</v>
      </c>
      <c r="B9" s="98">
        <v>43.68</v>
      </c>
      <c r="C9" s="98">
        <v>46.592000000000006</v>
      </c>
      <c r="D9" s="98">
        <v>74.88</v>
      </c>
      <c r="E9" s="98">
        <v>192.92000000000002</v>
      </c>
      <c r="F9" s="98">
        <v>267.32160000000005</v>
      </c>
      <c r="G9" s="98">
        <v>228.8</v>
      </c>
      <c r="H9" s="98">
        <v>749.17439999999999</v>
      </c>
      <c r="I9" s="98">
        <v>1741.376</v>
      </c>
      <c r="J9" s="98">
        <v>1660.5264000000002</v>
      </c>
      <c r="K9" s="98">
        <v>3677.44</v>
      </c>
      <c r="L9" s="98"/>
      <c r="M9" s="98"/>
      <c r="N9" s="98"/>
      <c r="O9" s="98"/>
    </row>
    <row r="10" spans="1:15" x14ac:dyDescent="0.25">
      <c r="A10">
        <v>9</v>
      </c>
      <c r="B10" s="98">
        <v>14.040000000000001</v>
      </c>
      <c r="C10" s="98">
        <v>48.391200000000005</v>
      </c>
      <c r="D10" s="98">
        <v>96.9696</v>
      </c>
      <c r="E10" s="98">
        <v>236.23600000000002</v>
      </c>
      <c r="F10" s="98">
        <v>160.88800000000003</v>
      </c>
      <c r="G10" s="98">
        <v>101.92</v>
      </c>
      <c r="H10" s="98">
        <v>246.63600000000002</v>
      </c>
      <c r="I10" s="98">
        <v>559.98800000000006</v>
      </c>
      <c r="J10" s="98">
        <v>790.92000000000007</v>
      </c>
      <c r="K10" s="98">
        <v>1722.7267200000003</v>
      </c>
      <c r="L10" s="98">
        <v>2834.8319999999999</v>
      </c>
      <c r="M10" s="98"/>
      <c r="N10" s="98"/>
      <c r="O10" s="98"/>
    </row>
    <row r="11" spans="1:15" x14ac:dyDescent="0.25">
      <c r="A11" t="s">
        <v>93</v>
      </c>
      <c r="B11">
        <v>30.737777777777783</v>
      </c>
      <c r="C11">
        <v>43.597204444444444</v>
      </c>
      <c r="D11">
        <v>96.161982222222221</v>
      </c>
      <c r="E11">
        <v>213.09415111111113</v>
      </c>
      <c r="F11">
        <v>196.67295555555555</v>
      </c>
      <c r="G11">
        <v>290.16028888888894</v>
      </c>
      <c r="H11">
        <v>447.17457777777776</v>
      </c>
      <c r="I11">
        <v>821.6172177777778</v>
      </c>
      <c r="J11">
        <v>909.98961777777788</v>
      </c>
      <c r="K11">
        <v>1306.7669688888889</v>
      </c>
      <c r="L11">
        <v>1687.2533333333333</v>
      </c>
      <c r="M11">
        <v>1731.9245866666668</v>
      </c>
      <c r="N11">
        <v>1817.6479733333335</v>
      </c>
      <c r="O11">
        <v>1944.4444444444443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B2" sqref="B2:B62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>
        <v>0</v>
      </c>
      <c r="B2" s="99">
        <v>0.4</v>
      </c>
    </row>
    <row r="3" spans="1:2" x14ac:dyDescent="0.25">
      <c r="A3">
        <v>1</v>
      </c>
      <c r="B3" s="99">
        <v>0.59670454606758705</v>
      </c>
    </row>
    <row r="4" spans="1:2" x14ac:dyDescent="0.25">
      <c r="A4">
        <v>2</v>
      </c>
      <c r="B4" s="99">
        <v>0.89011675112661803</v>
      </c>
    </row>
    <row r="5" spans="1:2" x14ac:dyDescent="0.25">
      <c r="A5">
        <v>3</v>
      </c>
      <c r="B5" s="99">
        <v>1.32775395331777</v>
      </c>
    </row>
    <row r="6" spans="1:2" x14ac:dyDescent="0.25">
      <c r="A6">
        <v>4</v>
      </c>
      <c r="B6" s="99">
        <v>1.9804492963440801</v>
      </c>
    </row>
    <row r="7" spans="1:2" x14ac:dyDescent="0.25">
      <c r="A7">
        <v>5</v>
      </c>
      <c r="B7" s="99">
        <v>2.9537581778688899</v>
      </c>
    </row>
    <row r="8" spans="1:2" x14ac:dyDescent="0.25">
      <c r="A8">
        <v>6</v>
      </c>
      <c r="B8" s="99">
        <v>4.4049139628675897</v>
      </c>
    </row>
    <row r="9" spans="1:2" x14ac:dyDescent="0.25">
      <c r="A9">
        <v>7</v>
      </c>
      <c r="B9" s="99">
        <v>6.5680195318449304</v>
      </c>
    </row>
    <row r="10" spans="1:2" x14ac:dyDescent="0.25">
      <c r="A10">
        <v>8</v>
      </c>
      <c r="B10" s="99">
        <v>9.7915016755131195</v>
      </c>
    </row>
    <row r="11" spans="1:2" x14ac:dyDescent="0.25">
      <c r="A11">
        <v>9</v>
      </c>
      <c r="B11" s="99">
        <v>14.5940357830629</v>
      </c>
    </row>
    <row r="12" spans="1:2" x14ac:dyDescent="0.25">
      <c r="A12">
        <v>10</v>
      </c>
      <c r="B12" s="99">
        <v>21.749133883215102</v>
      </c>
    </row>
    <row r="13" spans="1:2" x14ac:dyDescent="0.25">
      <c r="A13">
        <v>11</v>
      </c>
      <c r="B13" s="99">
        <v>32.415896483077702</v>
      </c>
    </row>
    <row r="14" spans="1:2" x14ac:dyDescent="0.25">
      <c r="A14">
        <v>12</v>
      </c>
      <c r="B14" s="99">
        <v>48.344141948979797</v>
      </c>
    </row>
    <row r="15" spans="1:2" x14ac:dyDescent="0.25">
      <c r="A15">
        <v>13</v>
      </c>
      <c r="B15" s="99">
        <v>72.050188047982601</v>
      </c>
    </row>
    <row r="16" spans="1:2" x14ac:dyDescent="0.25">
      <c r="A16">
        <v>14</v>
      </c>
      <c r="B16" s="99">
        <v>80.463413169485193</v>
      </c>
    </row>
    <row r="17" spans="1:2" x14ac:dyDescent="0.25">
      <c r="A17">
        <v>15</v>
      </c>
      <c r="B17" s="99">
        <v>79.338473249334697</v>
      </c>
    </row>
    <row r="18" spans="1:2" x14ac:dyDescent="0.25">
      <c r="A18">
        <v>16</v>
      </c>
      <c r="B18" s="99">
        <v>79.397280269225107</v>
      </c>
    </row>
    <row r="19" spans="1:2" x14ac:dyDescent="0.25">
      <c r="A19">
        <v>17</v>
      </c>
      <c r="B19" s="99">
        <v>80.800409773093904</v>
      </c>
    </row>
    <row r="20" spans="1:2" x14ac:dyDescent="0.25">
      <c r="A20">
        <v>18</v>
      </c>
      <c r="B20" s="99">
        <v>83.668541356887303</v>
      </c>
    </row>
    <row r="21" spans="1:2" x14ac:dyDescent="0.25">
      <c r="A21">
        <v>19</v>
      </c>
      <c r="B21" s="99">
        <v>88.246466213766197</v>
      </c>
    </row>
    <row r="22" spans="1:2" x14ac:dyDescent="0.25">
      <c r="A22">
        <v>20</v>
      </c>
      <c r="B22" s="99">
        <v>94.845400479409605</v>
      </c>
    </row>
    <row r="23" spans="1:2" x14ac:dyDescent="0.25">
      <c r="A23">
        <v>21</v>
      </c>
      <c r="B23" s="99">
        <v>103.888554481252</v>
      </c>
    </row>
    <row r="24" spans="1:2" x14ac:dyDescent="0.25">
      <c r="A24">
        <v>22</v>
      </c>
      <c r="B24" s="99">
        <v>115.954575570478</v>
      </c>
    </row>
    <row r="25" spans="1:2" x14ac:dyDescent="0.25">
      <c r="A25">
        <v>23</v>
      </c>
      <c r="B25" s="99">
        <v>131.827819689519</v>
      </c>
    </row>
    <row r="26" spans="1:2" x14ac:dyDescent="0.25">
      <c r="A26">
        <v>24</v>
      </c>
      <c r="B26" s="99">
        <v>152.559234105104</v>
      </c>
    </row>
    <row r="27" spans="1:2" x14ac:dyDescent="0.25">
      <c r="A27">
        <v>25</v>
      </c>
      <c r="B27" s="99">
        <v>179.53827439832</v>
      </c>
    </row>
    <row r="28" spans="1:2" x14ac:dyDescent="0.25">
      <c r="A28">
        <v>26</v>
      </c>
      <c r="B28" s="99">
        <v>214.571690982034</v>
      </c>
    </row>
    <row r="29" spans="1:2" x14ac:dyDescent="0.25">
      <c r="A29">
        <v>27</v>
      </c>
      <c r="B29" s="99">
        <v>259.95751119825798</v>
      </c>
    </row>
    <row r="30" spans="1:2" x14ac:dyDescent="0.25">
      <c r="A30">
        <v>28</v>
      </c>
      <c r="B30" s="99">
        <v>318.53093299635799</v>
      </c>
    </row>
    <row r="31" spans="1:2" x14ac:dyDescent="0.25">
      <c r="A31">
        <v>29</v>
      </c>
      <c r="B31" s="99">
        <v>393.64308347774698</v>
      </c>
    </row>
    <row r="32" spans="1:2" x14ac:dyDescent="0.25">
      <c r="A32">
        <v>30</v>
      </c>
      <c r="B32" s="99">
        <v>489.01631591931499</v>
      </c>
    </row>
    <row r="33" spans="1:2" x14ac:dyDescent="0.25">
      <c r="A33">
        <v>31</v>
      </c>
      <c r="B33" s="99">
        <v>608.40866585697995</v>
      </c>
    </row>
    <row r="34" spans="1:2" x14ac:dyDescent="0.25">
      <c r="A34">
        <v>32</v>
      </c>
      <c r="B34" s="99">
        <v>755.03053268154395</v>
      </c>
    </row>
    <row r="35" spans="1:2" x14ac:dyDescent="0.25">
      <c r="A35">
        <v>33</v>
      </c>
      <c r="B35" s="99">
        <v>930.71052027815597</v>
      </c>
    </row>
    <row r="36" spans="1:2" x14ac:dyDescent="0.25">
      <c r="A36">
        <v>34</v>
      </c>
      <c r="B36" s="99">
        <v>1134.92200729351</v>
      </c>
    </row>
    <row r="37" spans="1:2" x14ac:dyDescent="0.25">
      <c r="A37">
        <v>35</v>
      </c>
      <c r="B37" s="99">
        <v>1363.94241806582</v>
      </c>
    </row>
    <row r="38" spans="1:2" x14ac:dyDescent="0.25">
      <c r="A38">
        <v>36</v>
      </c>
      <c r="B38" s="99">
        <v>1610.54334077147</v>
      </c>
    </row>
    <row r="39" spans="1:2" x14ac:dyDescent="0.25">
      <c r="A39">
        <v>37</v>
      </c>
      <c r="B39" s="99">
        <v>1864.56604699321</v>
      </c>
    </row>
    <row r="40" spans="1:2" x14ac:dyDescent="0.25">
      <c r="A40">
        <v>38</v>
      </c>
      <c r="B40" s="99">
        <v>2114.4346773910602</v>
      </c>
    </row>
    <row r="41" spans="1:2" x14ac:dyDescent="0.25">
      <c r="A41">
        <v>39</v>
      </c>
      <c r="B41" s="99">
        <v>2349.2020108917</v>
      </c>
    </row>
    <row r="42" spans="1:2" x14ac:dyDescent="0.25">
      <c r="A42">
        <v>40</v>
      </c>
      <c r="B42" s="99">
        <v>2560.4105191220301</v>
      </c>
    </row>
    <row r="43" spans="1:2" x14ac:dyDescent="0.25">
      <c r="A43">
        <v>41</v>
      </c>
      <c r="B43" s="99">
        <v>2743.1379266034301</v>
      </c>
    </row>
    <row r="44" spans="1:2" x14ac:dyDescent="0.25">
      <c r="A44">
        <v>42</v>
      </c>
      <c r="B44" s="99">
        <v>2896.0250224743299</v>
      </c>
    </row>
    <row r="45" spans="1:2" x14ac:dyDescent="0.25">
      <c r="A45">
        <v>43</v>
      </c>
      <c r="B45" s="99">
        <v>3020.53509296946</v>
      </c>
    </row>
    <row r="46" spans="1:2" x14ac:dyDescent="0.25">
      <c r="A46">
        <v>44</v>
      </c>
      <c r="B46" s="99">
        <v>3119.8979412894901</v>
      </c>
    </row>
    <row r="47" spans="1:2" x14ac:dyDescent="0.25">
      <c r="A47">
        <v>45</v>
      </c>
      <c r="B47" s="99">
        <v>3198.12402858827</v>
      </c>
    </row>
    <row r="48" spans="1:2" x14ac:dyDescent="0.25">
      <c r="A48">
        <v>46</v>
      </c>
      <c r="B48" s="99">
        <v>3259.2847332317801</v>
      </c>
    </row>
    <row r="49" spans="1:2" x14ac:dyDescent="0.25">
      <c r="A49">
        <v>47</v>
      </c>
      <c r="B49" s="99">
        <v>3307.0875032671102</v>
      </c>
    </row>
    <row r="50" spans="1:2" x14ac:dyDescent="0.25">
      <c r="A50">
        <v>48</v>
      </c>
      <c r="B50" s="99">
        <v>3344.6858365274202</v>
      </c>
    </row>
    <row r="51" spans="1:2" x14ac:dyDescent="0.25">
      <c r="A51">
        <v>49</v>
      </c>
      <c r="B51" s="99">
        <v>3374.6418114579501</v>
      </c>
    </row>
    <row r="52" spans="1:2" x14ac:dyDescent="0.25">
      <c r="A52">
        <v>50</v>
      </c>
      <c r="B52" s="99">
        <v>3398.9713072120298</v>
      </c>
    </row>
    <row r="53" spans="1:2" x14ac:dyDescent="0.25">
      <c r="A53">
        <v>51</v>
      </c>
      <c r="B53" s="99">
        <v>3419.2242782003</v>
      </c>
    </row>
    <row r="54" spans="1:2" x14ac:dyDescent="0.25">
      <c r="A54">
        <v>52</v>
      </c>
      <c r="B54" s="99">
        <v>3436.5722739241601</v>
      </c>
    </row>
    <row r="55" spans="1:2" x14ac:dyDescent="0.25">
      <c r="A55">
        <v>53</v>
      </c>
      <c r="B55" s="99">
        <v>3451.8892878177899</v>
      </c>
    </row>
    <row r="56" spans="1:2" x14ac:dyDescent="0.25">
      <c r="A56">
        <v>54</v>
      </c>
      <c r="B56" s="99">
        <v>3465.82043260098</v>
      </c>
    </row>
    <row r="57" spans="1:2" x14ac:dyDescent="0.25">
      <c r="A57">
        <v>55</v>
      </c>
      <c r="B57" s="99">
        <v>3478.8374573475298</v>
      </c>
    </row>
    <row r="58" spans="1:2" x14ac:dyDescent="0.25">
      <c r="A58">
        <v>56</v>
      </c>
      <c r="B58" s="99">
        <v>3491.2822335247902</v>
      </c>
    </row>
    <row r="59" spans="1:2" x14ac:dyDescent="0.25">
      <c r="A59">
        <v>57</v>
      </c>
      <c r="B59" s="99">
        <v>3503.4001093378802</v>
      </c>
    </row>
    <row r="60" spans="1:2" x14ac:dyDescent="0.25">
      <c r="A60">
        <v>58</v>
      </c>
      <c r="B60" s="99">
        <v>3515.36512847325</v>
      </c>
    </row>
    <row r="61" spans="1:2" x14ac:dyDescent="0.25">
      <c r="A61">
        <v>59</v>
      </c>
      <c r="B61" s="99">
        <v>3527.2989086245102</v>
      </c>
    </row>
    <row r="62" spans="1:2" x14ac:dyDescent="0.25">
      <c r="A62">
        <v>60</v>
      </c>
      <c r="B62" s="99">
        <v>3539.2846754090601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E23" sqref="E23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32.5</v>
      </c>
      <c r="C2" s="98">
        <v>26.790399999999998</v>
      </c>
      <c r="D2" s="98">
        <v>52</v>
      </c>
      <c r="E2" s="98">
        <v>112.11200000000001</v>
      </c>
      <c r="F2" s="98">
        <v>95.721600000000009</v>
      </c>
      <c r="G2" s="98">
        <v>195.95160000000004</v>
      </c>
      <c r="H2" s="98">
        <v>364</v>
      </c>
      <c r="I2" s="98">
        <v>836.55000000000007</v>
      </c>
      <c r="J2" s="98">
        <v>819.43679999999995</v>
      </c>
      <c r="K2" s="98">
        <v>1872</v>
      </c>
      <c r="L2" s="98">
        <v>2583.36</v>
      </c>
      <c r="M2" s="98"/>
      <c r="N2" s="98"/>
      <c r="O2" s="98"/>
    </row>
    <row r="3" spans="1:15" x14ac:dyDescent="0.25">
      <c r="A3">
        <v>2</v>
      </c>
      <c r="B3" s="98">
        <v>36.4</v>
      </c>
      <c r="C3" s="98">
        <v>39</v>
      </c>
      <c r="D3" s="98">
        <v>65.52</v>
      </c>
      <c r="E3" s="98">
        <v>95.598879999999994</v>
      </c>
      <c r="F3" s="98">
        <v>65</v>
      </c>
      <c r="G3" s="98">
        <v>97.69032</v>
      </c>
      <c r="H3" s="98">
        <v>152.88</v>
      </c>
      <c r="I3" s="98">
        <v>160.16</v>
      </c>
      <c r="J3" s="98">
        <v>431.85168000000004</v>
      </c>
      <c r="K3" s="98">
        <v>723.99599999999998</v>
      </c>
      <c r="L3" s="98">
        <v>912.6</v>
      </c>
      <c r="M3" s="98">
        <v>2198.6764800000001</v>
      </c>
      <c r="N3" s="98"/>
      <c r="O3" s="98"/>
    </row>
    <row r="4" spans="1:15" x14ac:dyDescent="0.25">
      <c r="A4">
        <v>3</v>
      </c>
      <c r="B4" s="98">
        <v>9.36</v>
      </c>
      <c r="C4" s="98">
        <v>39</v>
      </c>
      <c r="D4" s="98">
        <v>57.002399999999994</v>
      </c>
      <c r="E4" s="98">
        <v>163.07200000000003</v>
      </c>
      <c r="F4" s="98">
        <v>249.60000000000002</v>
      </c>
      <c r="G4" s="98">
        <v>345.8</v>
      </c>
      <c r="H4" s="98">
        <v>703.04000000000008</v>
      </c>
      <c r="I4" s="98">
        <v>698.88</v>
      </c>
      <c r="J4" s="98">
        <v>1703.52</v>
      </c>
      <c r="K4" s="98">
        <v>3444.48</v>
      </c>
      <c r="L4" s="98"/>
      <c r="M4" s="98"/>
      <c r="N4" s="98"/>
      <c r="O4" s="98"/>
    </row>
    <row r="5" spans="1:15" x14ac:dyDescent="0.25">
      <c r="A5">
        <v>4</v>
      </c>
      <c r="B5" s="98">
        <v>39</v>
      </c>
      <c r="C5" s="98">
        <v>32.148479999999999</v>
      </c>
      <c r="D5" s="98">
        <v>97.493760000000009</v>
      </c>
      <c r="E5" s="98">
        <v>143.27039999999997</v>
      </c>
      <c r="F5" s="98">
        <v>135.13499999999999</v>
      </c>
      <c r="G5" s="98">
        <v>205.92000000000002</v>
      </c>
      <c r="H5" s="98">
        <v>480.48</v>
      </c>
      <c r="I5" s="98">
        <v>599.04</v>
      </c>
      <c r="J5" s="98">
        <v>1048.32</v>
      </c>
      <c r="K5" s="98">
        <v>2931.3960000000002</v>
      </c>
      <c r="L5" s="98"/>
      <c r="M5" s="98"/>
      <c r="N5" s="98"/>
      <c r="O5" s="98"/>
    </row>
    <row r="6" spans="1:15" x14ac:dyDescent="0.25">
      <c r="A6">
        <v>5</v>
      </c>
      <c r="B6" s="98">
        <v>14.040000000000001</v>
      </c>
      <c r="C6" s="98">
        <v>42.9</v>
      </c>
      <c r="D6" s="98">
        <v>58.406400000000005</v>
      </c>
      <c r="E6" s="98">
        <v>135.80840000000001</v>
      </c>
      <c r="F6" s="98">
        <v>193.44</v>
      </c>
      <c r="G6" s="98">
        <v>140.4</v>
      </c>
      <c r="H6" s="98">
        <v>502.38240000000002</v>
      </c>
      <c r="I6" s="98">
        <v>540.80000000000007</v>
      </c>
      <c r="J6" s="98">
        <v>1489.9040000000002</v>
      </c>
      <c r="K6" s="98">
        <v>2115.36</v>
      </c>
      <c r="L6" s="98"/>
      <c r="M6" s="98"/>
      <c r="N6" s="98"/>
      <c r="O6" s="98"/>
    </row>
    <row r="7" spans="1:15" x14ac:dyDescent="0.25">
      <c r="A7">
        <v>6</v>
      </c>
      <c r="B7" s="98">
        <v>24.96</v>
      </c>
      <c r="C7" s="98">
        <v>15.600000000000001</v>
      </c>
      <c r="D7" s="98">
        <v>64.247040000000013</v>
      </c>
      <c r="E7" s="98">
        <v>158.58960000000002</v>
      </c>
      <c r="F7" s="98">
        <v>819.93600000000004</v>
      </c>
      <c r="G7" s="98">
        <v>1185.6000000000001</v>
      </c>
      <c r="H7" s="98">
        <v>2518.2144000000003</v>
      </c>
      <c r="I7" s="98"/>
      <c r="J7" s="98"/>
      <c r="K7" s="98"/>
      <c r="L7" s="98"/>
      <c r="M7" s="98"/>
      <c r="N7" s="98"/>
      <c r="O7" s="98"/>
    </row>
    <row r="8" spans="1:15" x14ac:dyDescent="0.25">
      <c r="A8">
        <v>7</v>
      </c>
      <c r="B8" s="98">
        <v>24.96</v>
      </c>
      <c r="C8" s="98">
        <v>46.338240000000006</v>
      </c>
      <c r="D8" s="98">
        <v>83.083000000000027</v>
      </c>
      <c r="E8" s="98">
        <v>113.71360000000001</v>
      </c>
      <c r="F8" s="98">
        <v>94.64</v>
      </c>
      <c r="G8" s="98">
        <v>201.22596000000001</v>
      </c>
      <c r="H8" s="98">
        <v>368.36799999999999</v>
      </c>
      <c r="I8" s="98">
        <v>534.74304000000006</v>
      </c>
      <c r="J8" s="98">
        <v>845.31200000000001</v>
      </c>
      <c r="K8" s="98">
        <v>1856.4</v>
      </c>
      <c r="L8" s="98">
        <v>3302.2080000000005</v>
      </c>
      <c r="M8" s="98"/>
      <c r="N8" s="98"/>
      <c r="O8" s="98"/>
    </row>
    <row r="9" spans="1:15" x14ac:dyDescent="0.25">
      <c r="A9">
        <v>8</v>
      </c>
      <c r="B9" s="98">
        <v>45.5</v>
      </c>
      <c r="C9" s="98">
        <v>39</v>
      </c>
      <c r="D9" s="98">
        <v>90.272000000000006</v>
      </c>
      <c r="E9" s="98">
        <v>192.06720000000004</v>
      </c>
      <c r="F9" s="98">
        <v>362.32819999999998</v>
      </c>
      <c r="G9" s="98">
        <v>311.43840000000006</v>
      </c>
      <c r="H9" s="98">
        <v>1041.04</v>
      </c>
      <c r="I9" s="98">
        <v>1372.8</v>
      </c>
      <c r="J9" s="98">
        <v>2489.7600000000002</v>
      </c>
      <c r="K9" s="98"/>
      <c r="L9" s="98"/>
      <c r="M9" s="98"/>
      <c r="N9" s="98"/>
      <c r="O9" s="98"/>
    </row>
    <row r="10" spans="1:15" x14ac:dyDescent="0.25">
      <c r="A10">
        <v>9</v>
      </c>
      <c r="B10" s="98">
        <v>24.96</v>
      </c>
      <c r="C10" s="98">
        <v>9.36</v>
      </c>
      <c r="D10" s="98">
        <v>31.200000000000003</v>
      </c>
      <c r="E10" s="98">
        <v>39</v>
      </c>
      <c r="F10" s="98">
        <v>26</v>
      </c>
      <c r="G10" s="98">
        <v>65</v>
      </c>
      <c r="H10" s="98">
        <v>114.81600000000002</v>
      </c>
      <c r="I10" s="98">
        <v>166.4</v>
      </c>
      <c r="J10" s="98">
        <v>473.54112000000003</v>
      </c>
      <c r="K10" s="98">
        <v>312</v>
      </c>
      <c r="L10" s="98">
        <v>473.60560000000004</v>
      </c>
      <c r="M10" s="98">
        <v>1331.10016</v>
      </c>
      <c r="N10" s="98">
        <v>2786.7268000000004</v>
      </c>
      <c r="O10" s="98"/>
    </row>
    <row r="11" spans="1:15" x14ac:dyDescent="0.25">
      <c r="A11" t="s">
        <v>93</v>
      </c>
      <c r="B11">
        <v>27.96444444444445</v>
      </c>
      <c r="C11">
        <v>32.237457777777784</v>
      </c>
      <c r="D11">
        <v>66.580511111111122</v>
      </c>
      <c r="E11">
        <v>128.13689777777779</v>
      </c>
      <c r="F11">
        <v>226.86675555555559</v>
      </c>
      <c r="G11">
        <v>305.44736444444447</v>
      </c>
      <c r="H11">
        <v>691.88959999999997</v>
      </c>
      <c r="I11">
        <v>823.26367111111119</v>
      </c>
      <c r="J11">
        <v>1311.2939555555556</v>
      </c>
      <c r="K11">
        <v>1875.5284444444446</v>
      </c>
      <c r="L11">
        <v>2098.4672888888886</v>
      </c>
      <c r="M11">
        <v>2336.6418488888894</v>
      </c>
      <c r="N11">
        <v>2500</v>
      </c>
      <c r="O11">
        <v>2500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G4" sqref="G4"/>
    </sheetView>
  </sheetViews>
  <sheetFormatPr defaultRowHeight="15" x14ac:dyDescent="0.25"/>
  <sheetData>
    <row r="1" spans="1:3" x14ac:dyDescent="0.25">
      <c r="A1" t="s">
        <v>94</v>
      </c>
      <c r="B1" t="s">
        <v>96</v>
      </c>
      <c r="C1" t="s">
        <v>95</v>
      </c>
    </row>
    <row r="2" spans="1:3" x14ac:dyDescent="0.25">
      <c r="A2">
        <v>0</v>
      </c>
      <c r="C2" s="99">
        <v>0.4</v>
      </c>
    </row>
    <row r="3" spans="1:3" x14ac:dyDescent="0.25">
      <c r="A3">
        <v>1</v>
      </c>
      <c r="C3" s="99">
        <v>0.59670454606758705</v>
      </c>
    </row>
    <row r="4" spans="1:3" x14ac:dyDescent="0.25">
      <c r="A4">
        <v>2</v>
      </c>
      <c r="C4" s="99">
        <v>0.89011675112661803</v>
      </c>
    </row>
    <row r="5" spans="1:3" x14ac:dyDescent="0.25">
      <c r="A5">
        <v>3</v>
      </c>
      <c r="C5" s="99">
        <v>1.32775395331777</v>
      </c>
    </row>
    <row r="6" spans="1:3" x14ac:dyDescent="0.25">
      <c r="A6">
        <v>4</v>
      </c>
      <c r="C6" s="99">
        <v>1.9804492963440801</v>
      </c>
    </row>
    <row r="7" spans="1:3" x14ac:dyDescent="0.25">
      <c r="A7">
        <v>5</v>
      </c>
      <c r="C7" s="99">
        <v>2.9537581778688899</v>
      </c>
    </row>
    <row r="8" spans="1:3" x14ac:dyDescent="0.25">
      <c r="A8">
        <v>6</v>
      </c>
      <c r="C8" s="99">
        <v>4.4049139628675897</v>
      </c>
    </row>
    <row r="9" spans="1:3" x14ac:dyDescent="0.25">
      <c r="A9">
        <v>7</v>
      </c>
      <c r="C9" s="99">
        <v>6.5680195318449304</v>
      </c>
    </row>
    <row r="10" spans="1:3" x14ac:dyDescent="0.25">
      <c r="A10">
        <v>8</v>
      </c>
      <c r="C10" s="99">
        <v>5.4363033349910399</v>
      </c>
    </row>
    <row r="11" spans="1:3" x14ac:dyDescent="0.25">
      <c r="A11">
        <v>9</v>
      </c>
      <c r="C11" s="99">
        <v>4.6405305673153503</v>
      </c>
    </row>
    <row r="12" spans="1:3" x14ac:dyDescent="0.25">
      <c r="A12">
        <v>10</v>
      </c>
      <c r="C12" s="99">
        <v>4.12536230775327</v>
      </c>
    </row>
    <row r="13" spans="1:3" x14ac:dyDescent="0.25">
      <c r="A13">
        <v>11</v>
      </c>
      <c r="C13" s="99">
        <v>3.7918096769268899</v>
      </c>
    </row>
    <row r="14" spans="1:3" x14ac:dyDescent="0.25">
      <c r="A14">
        <v>12</v>
      </c>
      <c r="C14" s="99">
        <v>3.5848071445869398</v>
      </c>
    </row>
    <row r="15" spans="1:3" x14ac:dyDescent="0.25">
      <c r="A15">
        <v>13</v>
      </c>
      <c r="C15" s="99">
        <v>3.4732055748458799</v>
      </c>
    </row>
    <row r="16" spans="1:3" x14ac:dyDescent="0.25">
      <c r="A16">
        <v>14</v>
      </c>
      <c r="C16" s="99">
        <v>3.4394785442656599</v>
      </c>
    </row>
    <row r="17" spans="1:3" x14ac:dyDescent="0.25">
      <c r="A17">
        <v>15</v>
      </c>
      <c r="C17" s="99">
        <v>3.4745852450323098</v>
      </c>
    </row>
    <row r="18" spans="1:3" x14ac:dyDescent="0.25">
      <c r="A18">
        <v>16</v>
      </c>
      <c r="C18" s="99">
        <v>3.5753819225790902</v>
      </c>
    </row>
    <row r="19" spans="1:3" x14ac:dyDescent="0.25">
      <c r="A19">
        <v>17</v>
      </c>
      <c r="C19" s="99">
        <v>3.7433913712387499</v>
      </c>
    </row>
    <row r="20" spans="1:3" x14ac:dyDescent="0.25">
      <c r="A20">
        <v>18</v>
      </c>
      <c r="C20" s="99">
        <v>3.9843890399483102</v>
      </c>
    </row>
    <row r="21" spans="1:3" x14ac:dyDescent="0.25">
      <c r="A21">
        <v>19</v>
      </c>
      <c r="C21" s="99">
        <v>4.3085715985153099</v>
      </c>
    </row>
    <row r="22" spans="1:3" x14ac:dyDescent="0.25">
      <c r="A22">
        <v>20</v>
      </c>
      <c r="C22" s="99">
        <v>4.7312378692419204</v>
      </c>
    </row>
    <row r="23" spans="1:3" x14ac:dyDescent="0.25">
      <c r="A23">
        <v>21</v>
      </c>
      <c r="C23" s="99">
        <v>5.2740194652502703</v>
      </c>
    </row>
    <row r="24" spans="1:3" x14ac:dyDescent="0.25">
      <c r="A24">
        <v>22</v>
      </c>
      <c r="C24" s="99">
        <v>5.9667911887409302</v>
      </c>
    </row>
    <row r="25" spans="1:3" x14ac:dyDescent="0.25">
      <c r="A25">
        <v>23</v>
      </c>
      <c r="C25" s="99">
        <v>6.8504944659463902</v>
      </c>
    </row>
    <row r="26" spans="1:3" x14ac:dyDescent="0.25">
      <c r="A26">
        <v>24</v>
      </c>
      <c r="C26" s="99">
        <v>7.9812416607471404</v>
      </c>
    </row>
    <row r="27" spans="1:3" x14ac:dyDescent="0.25">
      <c r="A27">
        <v>25</v>
      </c>
      <c r="C27" s="99">
        <v>9.4362576580585102</v>
      </c>
    </row>
    <row r="28" spans="1:3" x14ac:dyDescent="0.25">
      <c r="A28">
        <v>26</v>
      </c>
      <c r="C28" s="99">
        <v>11.3224858917419</v>
      </c>
    </row>
    <row r="29" spans="1:3" x14ac:dyDescent="0.25">
      <c r="A29">
        <v>27</v>
      </c>
      <c r="C29" s="99">
        <v>13.789075157285099</v>
      </c>
    </row>
    <row r="30" spans="1:3" x14ac:dyDescent="0.25">
      <c r="A30">
        <v>28</v>
      </c>
      <c r="C30" s="99">
        <v>17.045515161828799</v>
      </c>
    </row>
    <row r="31" spans="1:3" x14ac:dyDescent="0.25">
      <c r="A31">
        <v>29</v>
      </c>
      <c r="C31" s="99">
        <v>21.387950070965299</v>
      </c>
    </row>
    <row r="32" spans="1:3" x14ac:dyDescent="0.25">
      <c r="A32">
        <v>30</v>
      </c>
      <c r="C32" s="99">
        <v>27.2372065085918</v>
      </c>
    </row>
    <row r="33" spans="1:3" x14ac:dyDescent="0.25">
      <c r="A33">
        <v>31</v>
      </c>
      <c r="C33" s="99">
        <v>35.193319273295899</v>
      </c>
    </row>
    <row r="34" spans="1:3" x14ac:dyDescent="0.25">
      <c r="A34">
        <v>32</v>
      </c>
      <c r="C34" s="99">
        <v>46.112715386150697</v>
      </c>
    </row>
    <row r="35" spans="1:3" x14ac:dyDescent="0.25">
      <c r="A35">
        <v>33</v>
      </c>
      <c r="C35" s="99">
        <v>61.215404908775099</v>
      </c>
    </row>
    <row r="36" spans="1:3" x14ac:dyDescent="0.25">
      <c r="A36">
        <v>34</v>
      </c>
      <c r="C36" s="99">
        <v>82.229802137382705</v>
      </c>
    </row>
    <row r="37" spans="1:3" x14ac:dyDescent="0.25">
      <c r="A37">
        <v>35</v>
      </c>
      <c r="C37" s="99">
        <v>111.580692372735</v>
      </c>
    </row>
    <row r="38" spans="1:3" x14ac:dyDescent="0.25">
      <c r="A38">
        <v>36</v>
      </c>
      <c r="C38" s="99">
        <v>152.618556058237</v>
      </c>
    </row>
    <row r="39" spans="1:3" x14ac:dyDescent="0.25">
      <c r="A39">
        <v>37</v>
      </c>
      <c r="C39" s="99">
        <v>209.870981469317</v>
      </c>
    </row>
    <row r="40" spans="1:3" x14ac:dyDescent="0.25">
      <c r="A40">
        <v>38</v>
      </c>
      <c r="C40" s="99">
        <v>289.26159158535302</v>
      </c>
    </row>
    <row r="41" spans="1:3" x14ac:dyDescent="0.25">
      <c r="A41">
        <v>39</v>
      </c>
      <c r="C41" s="99">
        <v>398.18040340102698</v>
      </c>
    </row>
    <row r="42" spans="1:3" x14ac:dyDescent="0.25">
      <c r="A42">
        <v>40</v>
      </c>
      <c r="C42" s="99">
        <v>545.20182647256297</v>
      </c>
    </row>
    <row r="43" spans="1:3" x14ac:dyDescent="0.25">
      <c r="A43">
        <v>41</v>
      </c>
      <c r="C43" s="99">
        <v>739.16342650395495</v>
      </c>
    </row>
    <row r="44" spans="1:3" x14ac:dyDescent="0.25">
      <c r="A44">
        <v>42</v>
      </c>
      <c r="C44" s="99">
        <v>987.33447288739205</v>
      </c>
    </row>
    <row r="45" spans="1:3" x14ac:dyDescent="0.25">
      <c r="A45">
        <v>43</v>
      </c>
      <c r="C45" s="99">
        <v>1292.67850947999</v>
      </c>
    </row>
    <row r="46" spans="1:3" x14ac:dyDescent="0.25">
      <c r="A46">
        <v>44</v>
      </c>
      <c r="C46" s="99">
        <v>1650.8546655121199</v>
      </c>
    </row>
    <row r="47" spans="1:3" x14ac:dyDescent="0.25">
      <c r="A47">
        <v>45</v>
      </c>
      <c r="C47" s="99">
        <v>2048.3809787816199</v>
      </c>
    </row>
    <row r="48" spans="1:3" x14ac:dyDescent="0.25">
      <c r="A48">
        <v>46</v>
      </c>
      <c r="C48" s="99">
        <v>2463.5803239646002</v>
      </c>
    </row>
    <row r="49" spans="1:3" x14ac:dyDescent="0.25">
      <c r="A49">
        <v>47</v>
      </c>
      <c r="C49" s="99">
        <v>2870.8283776225098</v>
      </c>
    </row>
    <row r="50" spans="1:3" x14ac:dyDescent="0.25">
      <c r="A50">
        <v>48</v>
      </c>
      <c r="C50" s="99">
        <v>3246.5843207252401</v>
      </c>
    </row>
    <row r="51" spans="1:3" x14ac:dyDescent="0.25">
      <c r="A51">
        <v>49</v>
      </c>
      <c r="C51" s="99">
        <v>3574.3971958955099</v>
      </c>
    </row>
    <row r="52" spans="1:3" x14ac:dyDescent="0.25">
      <c r="A52">
        <v>50</v>
      </c>
      <c r="C52" s="99">
        <v>3846.84848631567</v>
      </c>
    </row>
    <row r="53" spans="1:3" x14ac:dyDescent="0.25">
      <c r="A53">
        <v>51</v>
      </c>
      <c r="C53" s="99">
        <v>4064.4324416405998</v>
      </c>
    </row>
    <row r="54" spans="1:3" x14ac:dyDescent="0.25">
      <c r="A54">
        <v>52</v>
      </c>
      <c r="C54" s="99">
        <v>4232.8283735887699</v>
      </c>
    </row>
    <row r="55" spans="1:3" x14ac:dyDescent="0.25">
      <c r="A55">
        <v>53</v>
      </c>
      <c r="C55" s="99">
        <v>4360.0992169217998</v>
      </c>
    </row>
    <row r="56" spans="1:3" x14ac:dyDescent="0.25">
      <c r="A56">
        <v>54</v>
      </c>
      <c r="C56" s="99">
        <v>4454.6439813971001</v>
      </c>
    </row>
    <row r="57" spans="1:3" x14ac:dyDescent="0.25">
      <c r="A57">
        <v>55</v>
      </c>
      <c r="C57" s="99">
        <v>4524.04411308815</v>
      </c>
    </row>
    <row r="58" spans="1:3" x14ac:dyDescent="0.25">
      <c r="A58">
        <v>56</v>
      </c>
      <c r="C58" s="99">
        <v>4574.5975351383504</v>
      </c>
    </row>
    <row r="59" spans="1:3" x14ac:dyDescent="0.25">
      <c r="A59">
        <v>57</v>
      </c>
      <c r="C59" s="99">
        <v>4611.2672117641296</v>
      </c>
    </row>
    <row r="60" spans="1:3" x14ac:dyDescent="0.25">
      <c r="A60">
        <v>58</v>
      </c>
      <c r="C60" s="99">
        <v>4637.8299315279801</v>
      </c>
    </row>
    <row r="61" spans="1:3" x14ac:dyDescent="0.25">
      <c r="A61">
        <v>59</v>
      </c>
      <c r="C61" s="99">
        <v>4657.0928209880403</v>
      </c>
    </row>
    <row r="62" spans="1:3" x14ac:dyDescent="0.25">
      <c r="A62">
        <v>60</v>
      </c>
      <c r="C62" s="99">
        <v>4671.1090788491802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E19" sqref="E19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39</v>
      </c>
      <c r="C2" s="98">
        <v>4.16</v>
      </c>
      <c r="D2" s="98">
        <v>37.44</v>
      </c>
      <c r="E2" s="98">
        <v>99.84</v>
      </c>
      <c r="F2" s="98">
        <v>26</v>
      </c>
      <c r="G2" s="98">
        <v>26</v>
      </c>
      <c r="H2" s="98">
        <v>26</v>
      </c>
      <c r="I2" s="98">
        <v>14.040000000000001</v>
      </c>
      <c r="J2" s="98">
        <v>0</v>
      </c>
      <c r="K2" s="98">
        <v>0</v>
      </c>
      <c r="L2" s="98">
        <v>0</v>
      </c>
      <c r="M2" s="98">
        <v>0</v>
      </c>
      <c r="N2" s="98">
        <v>0</v>
      </c>
      <c r="O2" s="98">
        <v>0</v>
      </c>
    </row>
    <row r="3" spans="1:15" x14ac:dyDescent="0.25">
      <c r="A3">
        <v>2</v>
      </c>
      <c r="B3" s="98">
        <v>14.040000000000001</v>
      </c>
      <c r="C3" s="98">
        <v>15.600000000000001</v>
      </c>
      <c r="D3" s="98">
        <v>35.880000000000003</v>
      </c>
      <c r="E3" s="98">
        <v>39</v>
      </c>
      <c r="F3" s="98">
        <v>93.600000000000009</v>
      </c>
      <c r="G3" s="98">
        <v>89.856000000000009</v>
      </c>
      <c r="H3" s="98">
        <v>219.69948000000005</v>
      </c>
      <c r="I3" s="98">
        <v>524.16</v>
      </c>
      <c r="J3" s="98">
        <v>529.15199999999993</v>
      </c>
      <c r="K3" s="98">
        <v>1853.28</v>
      </c>
      <c r="L3" s="98">
        <v>3369.6</v>
      </c>
      <c r="M3" s="98"/>
      <c r="N3" s="98"/>
      <c r="O3" s="98"/>
    </row>
    <row r="4" spans="1:15" x14ac:dyDescent="0.25">
      <c r="A4">
        <v>3</v>
      </c>
      <c r="B4" s="98">
        <v>39</v>
      </c>
      <c r="C4" s="98">
        <v>76.44</v>
      </c>
      <c r="D4" s="98">
        <v>96.033599999999993</v>
      </c>
      <c r="E4" s="98">
        <v>76.44</v>
      </c>
      <c r="F4" s="98">
        <v>37.44</v>
      </c>
      <c r="G4" s="98">
        <v>37.44</v>
      </c>
      <c r="H4" s="98">
        <v>9.36</v>
      </c>
      <c r="I4" s="98">
        <v>0</v>
      </c>
      <c r="J4" s="98">
        <v>0</v>
      </c>
      <c r="K4" s="98">
        <v>0</v>
      </c>
      <c r="L4" s="98">
        <v>0</v>
      </c>
      <c r="M4" s="98">
        <v>0</v>
      </c>
      <c r="N4" s="98">
        <v>0</v>
      </c>
      <c r="O4" s="98">
        <v>0</v>
      </c>
    </row>
    <row r="5" spans="1:15" x14ac:dyDescent="0.25">
      <c r="A5">
        <v>4</v>
      </c>
      <c r="B5" s="98">
        <v>37.44</v>
      </c>
      <c r="C5" s="98">
        <v>56.160000000000004</v>
      </c>
      <c r="D5" s="98">
        <v>77.650559999999999</v>
      </c>
      <c r="E5" s="98">
        <v>71.061120000000003</v>
      </c>
      <c r="F5" s="98">
        <v>112.43232</v>
      </c>
      <c r="G5" s="98">
        <v>93.912000000000006</v>
      </c>
      <c r="H5" s="98">
        <v>127.4</v>
      </c>
      <c r="I5" s="98">
        <v>14.040000000000001</v>
      </c>
      <c r="J5" s="98">
        <v>286.56576000000001</v>
      </c>
      <c r="K5" s="98">
        <v>832.25999999999988</v>
      </c>
      <c r="L5" s="98">
        <v>1153.152</v>
      </c>
      <c r="M5" s="98">
        <v>2871.6480000000006</v>
      </c>
      <c r="N5" s="98"/>
      <c r="O5" s="98"/>
    </row>
    <row r="6" spans="1:15" x14ac:dyDescent="0.25">
      <c r="A6">
        <v>5</v>
      </c>
      <c r="B6" s="98">
        <v>24.96</v>
      </c>
      <c r="C6" s="98">
        <v>39</v>
      </c>
      <c r="D6" s="98">
        <v>36.81600000000001</v>
      </c>
      <c r="E6" s="98">
        <v>37.44</v>
      </c>
      <c r="F6" s="98">
        <v>26</v>
      </c>
      <c r="G6" s="98">
        <v>56.160000000000004</v>
      </c>
      <c r="H6" s="98">
        <v>39</v>
      </c>
      <c r="I6" s="98">
        <v>65</v>
      </c>
      <c r="J6" s="98">
        <v>76.190399999999997</v>
      </c>
      <c r="K6" s="98">
        <v>260</v>
      </c>
      <c r="L6" s="98">
        <v>527.28</v>
      </c>
      <c r="M6" s="98">
        <v>1353.40608</v>
      </c>
      <c r="N6" s="98">
        <v>2415.8659199999997</v>
      </c>
      <c r="O6" s="98"/>
    </row>
    <row r="7" spans="1:15" x14ac:dyDescent="0.25">
      <c r="A7">
        <v>6</v>
      </c>
      <c r="B7" s="98">
        <v>39</v>
      </c>
      <c r="C7" s="98">
        <v>9.36</v>
      </c>
      <c r="D7" s="98">
        <v>9.36</v>
      </c>
      <c r="E7" s="98">
        <v>14.040000000000001</v>
      </c>
      <c r="F7" s="98">
        <v>23.400000000000002</v>
      </c>
      <c r="G7" s="98">
        <v>39</v>
      </c>
      <c r="H7" s="98">
        <v>91</v>
      </c>
      <c r="I7" s="98">
        <v>397.8</v>
      </c>
      <c r="J7" s="98">
        <v>576.7632000000001</v>
      </c>
      <c r="K7" s="98">
        <v>1397.76</v>
      </c>
      <c r="L7" s="98">
        <v>4473.04</v>
      </c>
      <c r="M7" s="98"/>
      <c r="N7" s="98"/>
      <c r="O7" s="98"/>
    </row>
    <row r="8" spans="1:15" x14ac:dyDescent="0.25">
      <c r="A8">
        <v>7</v>
      </c>
      <c r="B8" s="98">
        <v>62.400000000000006</v>
      </c>
      <c r="C8" s="98">
        <v>53.352000000000004</v>
      </c>
      <c r="D8" s="98">
        <v>118.31040000000002</v>
      </c>
      <c r="E8" s="98">
        <v>102.21120000000001</v>
      </c>
      <c r="F8" s="98">
        <v>56.160000000000004</v>
      </c>
      <c r="G8" s="98">
        <v>56.160000000000004</v>
      </c>
      <c r="H8" s="98">
        <v>99.84</v>
      </c>
      <c r="I8" s="98">
        <v>39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</row>
    <row r="9" spans="1:15" x14ac:dyDescent="0.25">
      <c r="A9">
        <v>8</v>
      </c>
      <c r="B9" s="98">
        <v>52</v>
      </c>
      <c r="C9" s="98">
        <v>54.6</v>
      </c>
      <c r="D9" s="98">
        <v>108.9088</v>
      </c>
      <c r="E9" s="98">
        <v>121.7216</v>
      </c>
      <c r="F9" s="98">
        <v>26</v>
      </c>
      <c r="G9" s="98">
        <v>26</v>
      </c>
      <c r="H9" s="98">
        <v>26</v>
      </c>
      <c r="I9" s="98">
        <v>182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</row>
    <row r="10" spans="1:15" x14ac:dyDescent="0.25">
      <c r="A10">
        <v>9</v>
      </c>
      <c r="B10" s="98">
        <v>52</v>
      </c>
      <c r="C10" s="98">
        <v>65.52</v>
      </c>
      <c r="D10" s="98">
        <v>66.56</v>
      </c>
      <c r="E10" s="98">
        <v>58.24</v>
      </c>
      <c r="F10" s="98">
        <v>56.160000000000004</v>
      </c>
      <c r="G10" s="98">
        <v>76.44</v>
      </c>
      <c r="H10" s="98">
        <v>52</v>
      </c>
      <c r="I10" s="98">
        <v>166.4</v>
      </c>
      <c r="J10" s="98">
        <v>304.15319999999997</v>
      </c>
      <c r="K10" s="98">
        <v>730.08</v>
      </c>
      <c r="L10" s="98">
        <v>2021.4480000000003</v>
      </c>
      <c r="M10" s="98"/>
      <c r="N10" s="98"/>
      <c r="O10" s="98"/>
    </row>
    <row r="11" spans="1:15" x14ac:dyDescent="0.25">
      <c r="A11">
        <v>10</v>
      </c>
      <c r="B11">
        <v>32.76</v>
      </c>
      <c r="C11">
        <v>9.36</v>
      </c>
      <c r="D11">
        <v>39</v>
      </c>
      <c r="E11">
        <v>26</v>
      </c>
      <c r="F11">
        <v>167.44</v>
      </c>
      <c r="G11">
        <v>14.040000000000001</v>
      </c>
      <c r="H11">
        <v>312</v>
      </c>
      <c r="I11">
        <v>786.24</v>
      </c>
      <c r="J11">
        <v>973.44</v>
      </c>
      <c r="K11">
        <v>1293.9263999999998</v>
      </c>
      <c r="L11">
        <v>1560</v>
      </c>
      <c r="M11">
        <v>4478.9097600000005</v>
      </c>
    </row>
    <row r="12" spans="1:15" x14ac:dyDescent="0.25">
      <c r="A12" t="s">
        <v>93</v>
      </c>
      <c r="B12">
        <v>39.260000000000005</v>
      </c>
      <c r="C12">
        <v>38.355200000000004</v>
      </c>
      <c r="D12">
        <v>62.595936000000009</v>
      </c>
      <c r="E12">
        <v>64.599391999999995</v>
      </c>
      <c r="F12">
        <v>62.463232000000005</v>
      </c>
      <c r="G12">
        <v>51.500800000000005</v>
      </c>
      <c r="H12">
        <v>100.22994800000001</v>
      </c>
      <c r="I12">
        <v>218.86800000000002</v>
      </c>
      <c r="J12">
        <v>274.62645600000002</v>
      </c>
      <c r="K12">
        <v>636.73063999999999</v>
      </c>
      <c r="L12">
        <v>1026.1880000000001</v>
      </c>
      <c r="M12">
        <v>1385.340608</v>
      </c>
      <c r="N12">
        <v>1491.5865920000001</v>
      </c>
      <c r="O12">
        <v>1500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94</v>
      </c>
      <c r="B1" t="s">
        <v>96</v>
      </c>
      <c r="C1" t="s">
        <v>95</v>
      </c>
    </row>
    <row r="2" spans="1:3" x14ac:dyDescent="0.25">
      <c r="A2">
        <v>0</v>
      </c>
      <c r="C2" s="99">
        <v>0.4</v>
      </c>
    </row>
    <row r="3" spans="1:3" x14ac:dyDescent="0.25">
      <c r="A3">
        <v>1</v>
      </c>
      <c r="C3" s="99">
        <v>0.59670454606758705</v>
      </c>
    </row>
    <row r="4" spans="1:3" x14ac:dyDescent="0.25">
      <c r="A4">
        <v>2</v>
      </c>
      <c r="C4" s="99">
        <v>0.89011675112661803</v>
      </c>
    </row>
    <row r="5" spans="1:3" x14ac:dyDescent="0.25">
      <c r="A5">
        <v>3</v>
      </c>
      <c r="C5" s="99">
        <v>1.32775395331777</v>
      </c>
    </row>
    <row r="6" spans="1:3" x14ac:dyDescent="0.25">
      <c r="A6">
        <v>4</v>
      </c>
      <c r="C6" s="99">
        <v>1.9804492963440801</v>
      </c>
    </row>
    <row r="7" spans="1:3" x14ac:dyDescent="0.25">
      <c r="A7">
        <v>5</v>
      </c>
      <c r="C7" s="99">
        <v>2.9537581778688899</v>
      </c>
    </row>
    <row r="8" spans="1:3" x14ac:dyDescent="0.25">
      <c r="A8">
        <v>6</v>
      </c>
      <c r="C8" s="99">
        <v>4.4049139628675897</v>
      </c>
    </row>
    <row r="9" spans="1:3" x14ac:dyDescent="0.25">
      <c r="A9">
        <v>7</v>
      </c>
      <c r="C9" s="99">
        <v>6.5680195318449304</v>
      </c>
    </row>
    <row r="10" spans="1:3" x14ac:dyDescent="0.25">
      <c r="A10">
        <v>8</v>
      </c>
      <c r="C10" s="99">
        <v>5.4363033349910399</v>
      </c>
    </row>
    <row r="11" spans="1:3" x14ac:dyDescent="0.25">
      <c r="A11">
        <v>9</v>
      </c>
      <c r="C11" s="99">
        <v>4.6405305673153503</v>
      </c>
    </row>
    <row r="12" spans="1:3" x14ac:dyDescent="0.25">
      <c r="A12">
        <v>10</v>
      </c>
      <c r="C12" s="99">
        <v>4.12536230775327</v>
      </c>
    </row>
    <row r="13" spans="1:3" x14ac:dyDescent="0.25">
      <c r="A13">
        <v>11</v>
      </c>
      <c r="C13" s="99">
        <v>3.2928445404622702</v>
      </c>
    </row>
    <row r="14" spans="1:3" x14ac:dyDescent="0.25">
      <c r="A14">
        <v>12</v>
      </c>
      <c r="C14" s="99">
        <v>2.78748799977132</v>
      </c>
    </row>
    <row r="15" spans="1:3" x14ac:dyDescent="0.25">
      <c r="A15">
        <v>13</v>
      </c>
      <c r="C15" s="99">
        <v>2.4671713691252202</v>
      </c>
    </row>
    <row r="16" spans="1:3" x14ac:dyDescent="0.25">
      <c r="A16">
        <v>14</v>
      </c>
      <c r="C16" s="99">
        <v>2.0353088326905899</v>
      </c>
    </row>
    <row r="17" spans="1:3" x14ac:dyDescent="0.25">
      <c r="A17">
        <v>15</v>
      </c>
      <c r="C17" s="99">
        <v>1.75887149678235</v>
      </c>
    </row>
    <row r="18" spans="1:3" x14ac:dyDescent="0.25">
      <c r="A18">
        <v>16</v>
      </c>
      <c r="C18" s="99">
        <v>1.57758051420267</v>
      </c>
    </row>
    <row r="19" spans="1:3" x14ac:dyDescent="0.25">
      <c r="A19">
        <v>17</v>
      </c>
      <c r="C19" s="99">
        <v>1.4590700430636601</v>
      </c>
    </row>
    <row r="20" spans="1:3" x14ac:dyDescent="0.25">
      <c r="A20">
        <v>18</v>
      </c>
      <c r="C20" s="99">
        <v>1.3853000520629399</v>
      </c>
    </row>
    <row r="21" spans="1:3" x14ac:dyDescent="0.25">
      <c r="A21">
        <v>19</v>
      </c>
      <c r="C21" s="99">
        <v>1.34582399940454</v>
      </c>
    </row>
    <row r="22" spans="1:3" x14ac:dyDescent="0.25">
      <c r="A22">
        <v>20</v>
      </c>
      <c r="C22" s="99">
        <v>1.3346063163978901</v>
      </c>
    </row>
    <row r="23" spans="1:3" x14ac:dyDescent="0.25">
      <c r="A23">
        <v>21</v>
      </c>
      <c r="C23" s="99">
        <v>1.34841323496781</v>
      </c>
    </row>
    <row r="24" spans="1:3" x14ac:dyDescent="0.25">
      <c r="A24">
        <v>22</v>
      </c>
      <c r="C24" s="99">
        <v>1.38597458133023</v>
      </c>
    </row>
    <row r="25" spans="1:3" x14ac:dyDescent="0.25">
      <c r="A25">
        <v>23</v>
      </c>
      <c r="C25" s="99">
        <v>1.4475613733419299</v>
      </c>
    </row>
    <row r="26" spans="1:3" x14ac:dyDescent="0.25">
      <c r="A26">
        <v>24</v>
      </c>
      <c r="C26" s="99">
        <v>1.5348138407109799</v>
      </c>
    </row>
    <row r="27" spans="1:3" x14ac:dyDescent="0.25">
      <c r="A27">
        <v>25</v>
      </c>
      <c r="C27" s="99">
        <v>1.65074356407791</v>
      </c>
    </row>
    <row r="28" spans="1:3" x14ac:dyDescent="0.25">
      <c r="A28">
        <v>26</v>
      </c>
      <c r="C28" s="99">
        <v>1.7998804923685501</v>
      </c>
    </row>
    <row r="29" spans="1:3" x14ac:dyDescent="0.25">
      <c r="A29">
        <v>27</v>
      </c>
      <c r="C29" s="99">
        <v>1.9885650727577999</v>
      </c>
    </row>
    <row r="30" spans="1:3" x14ac:dyDescent="0.25">
      <c r="A30">
        <v>28</v>
      </c>
      <c r="C30" s="99">
        <v>2.22540914028</v>
      </c>
    </row>
    <row r="31" spans="1:3" x14ac:dyDescent="0.25">
      <c r="A31">
        <v>29</v>
      </c>
      <c r="C31" s="99">
        <v>2.5219731770839702</v>
      </c>
    </row>
    <row r="32" spans="1:3" x14ac:dyDescent="0.25">
      <c r="A32">
        <v>30</v>
      </c>
      <c r="C32" s="99">
        <v>2.8937371562624601</v>
      </c>
    </row>
    <row r="33" spans="1:3" x14ac:dyDescent="0.25">
      <c r="A33">
        <v>31</v>
      </c>
      <c r="C33" s="99">
        <v>3.36148277176334</v>
      </c>
    </row>
    <row r="34" spans="1:3" x14ac:dyDescent="0.25">
      <c r="A34">
        <v>32</v>
      </c>
      <c r="C34" s="99">
        <v>3.9532632749137799</v>
      </c>
    </row>
    <row r="35" spans="1:3" x14ac:dyDescent="0.25">
      <c r="A35">
        <v>33</v>
      </c>
      <c r="C35" s="99">
        <v>4.7072229872040596</v>
      </c>
    </row>
    <row r="36" spans="1:3" x14ac:dyDescent="0.25">
      <c r="A36">
        <v>34</v>
      </c>
      <c r="C36" s="99">
        <v>5.6756556098422104</v>
      </c>
    </row>
    <row r="37" spans="1:3" x14ac:dyDescent="0.25">
      <c r="A37">
        <v>35</v>
      </c>
      <c r="C37" s="99">
        <v>6.9308783119794297</v>
      </c>
    </row>
    <row r="38" spans="1:3" x14ac:dyDescent="0.25">
      <c r="A38">
        <v>36</v>
      </c>
      <c r="C38" s="99">
        <v>8.5737743984014099</v>
      </c>
    </row>
    <row r="39" spans="1:3" x14ac:dyDescent="0.25">
      <c r="A39">
        <v>37</v>
      </c>
      <c r="C39" s="99">
        <v>10.746256923817301</v>
      </c>
    </row>
    <row r="40" spans="1:3" x14ac:dyDescent="0.25">
      <c r="A40">
        <v>38</v>
      </c>
      <c r="C40" s="99">
        <v>13.6494724993209</v>
      </c>
    </row>
    <row r="41" spans="1:3" x14ac:dyDescent="0.25">
      <c r="A41">
        <v>39</v>
      </c>
      <c r="C41" s="99">
        <v>17.570344757806399</v>
      </c>
    </row>
    <row r="42" spans="1:3" x14ac:dyDescent="0.25">
      <c r="A42">
        <v>40</v>
      </c>
      <c r="C42" s="99">
        <v>22.920085425229001</v>
      </c>
    </row>
    <row r="43" spans="1:3" x14ac:dyDescent="0.25">
      <c r="A43">
        <v>41</v>
      </c>
      <c r="C43" s="99">
        <v>30.289574085747201</v>
      </c>
    </row>
    <row r="44" spans="1:3" x14ac:dyDescent="0.25">
      <c r="A44">
        <v>42</v>
      </c>
      <c r="C44" s="99">
        <v>40.527933070793097</v>
      </c>
    </row>
    <row r="45" spans="1:3" x14ac:dyDescent="0.25">
      <c r="A45">
        <v>43</v>
      </c>
      <c r="C45" s="99">
        <v>54.8519266293901</v>
      </c>
    </row>
    <row r="46" spans="1:3" x14ac:dyDescent="0.25">
      <c r="A46">
        <v>44</v>
      </c>
      <c r="C46" s="99">
        <v>74.994350432776301</v>
      </c>
    </row>
    <row r="47" spans="1:3" x14ac:dyDescent="0.25">
      <c r="A47">
        <v>45</v>
      </c>
      <c r="C47" s="99">
        <v>103.397957446691</v>
      </c>
    </row>
    <row r="48" spans="1:3" x14ac:dyDescent="0.25">
      <c r="A48">
        <v>46</v>
      </c>
      <c r="C48" s="99">
        <v>143.45484338632801</v>
      </c>
    </row>
    <row r="49" spans="1:3" x14ac:dyDescent="0.25">
      <c r="A49">
        <v>47</v>
      </c>
      <c r="C49" s="99">
        <v>199.774251057898</v>
      </c>
    </row>
    <row r="50" spans="1:3" x14ac:dyDescent="0.25">
      <c r="A50">
        <v>48</v>
      </c>
      <c r="C50" s="99">
        <v>278.425847624337</v>
      </c>
    </row>
    <row r="51" spans="1:3" x14ac:dyDescent="0.25">
      <c r="A51">
        <v>49</v>
      </c>
      <c r="C51" s="99">
        <v>387.04048041178902</v>
      </c>
    </row>
    <row r="52" spans="1:3" x14ac:dyDescent="0.25">
      <c r="A52">
        <v>50</v>
      </c>
      <c r="C52" s="99">
        <v>534.55358689509205</v>
      </c>
    </row>
    <row r="53" spans="1:3" x14ac:dyDescent="0.25">
      <c r="A53">
        <v>51</v>
      </c>
      <c r="C53" s="99">
        <v>730.27703350265699</v>
      </c>
    </row>
    <row r="54" spans="1:3" x14ac:dyDescent="0.25">
      <c r="A54">
        <v>52</v>
      </c>
      <c r="C54" s="99">
        <v>981.98355741928594</v>
      </c>
    </row>
    <row r="55" spans="1:3" x14ac:dyDescent="0.25">
      <c r="A55">
        <v>53</v>
      </c>
      <c r="C55" s="99">
        <v>1292.9696241530501</v>
      </c>
    </row>
    <row r="56" spans="1:3" x14ac:dyDescent="0.25">
      <c r="A56">
        <v>54</v>
      </c>
      <c r="C56" s="99">
        <v>1658.7738008039701</v>
      </c>
    </row>
    <row r="57" spans="1:3" x14ac:dyDescent="0.25">
      <c r="A57">
        <v>55</v>
      </c>
      <c r="C57" s="99">
        <v>2065.1369831544698</v>
      </c>
    </row>
    <row r="58" spans="1:3" x14ac:dyDescent="0.25">
      <c r="A58">
        <v>56</v>
      </c>
      <c r="C58" s="99">
        <v>2489.0474238239699</v>
      </c>
    </row>
    <row r="59" spans="1:3" x14ac:dyDescent="0.25">
      <c r="A59">
        <v>57</v>
      </c>
      <c r="C59" s="99">
        <v>2903.44069933222</v>
      </c>
    </row>
    <row r="60" spans="1:3" x14ac:dyDescent="0.25">
      <c r="A60">
        <v>58</v>
      </c>
      <c r="C60" s="99">
        <v>3283.7811497607299</v>
      </c>
    </row>
    <row r="61" spans="1:3" x14ac:dyDescent="0.25">
      <c r="A61">
        <v>59</v>
      </c>
      <c r="C61" s="99">
        <v>3613.3623474720098</v>
      </c>
    </row>
    <row r="62" spans="1:3" x14ac:dyDescent="0.25">
      <c r="A62">
        <v>60</v>
      </c>
      <c r="C62" s="99">
        <v>3885.1589432220098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B12" sqref="B12:O12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18.72</v>
      </c>
      <c r="C2" s="98">
        <v>9.36</v>
      </c>
      <c r="D2" s="98">
        <v>65.52</v>
      </c>
      <c r="E2" s="98">
        <v>51.687999999999995</v>
      </c>
      <c r="F2" s="98">
        <v>26</v>
      </c>
      <c r="G2" s="98">
        <v>26</v>
      </c>
      <c r="H2" s="98">
        <v>26</v>
      </c>
      <c r="I2" s="98">
        <v>14.040000000000001</v>
      </c>
      <c r="J2" s="98">
        <v>0</v>
      </c>
      <c r="K2" s="98">
        <v>0</v>
      </c>
      <c r="L2" s="98">
        <v>0</v>
      </c>
      <c r="M2" s="98">
        <v>0</v>
      </c>
      <c r="N2" s="98">
        <v>0</v>
      </c>
      <c r="O2" s="98">
        <v>0</v>
      </c>
    </row>
    <row r="3" spans="1:15" x14ac:dyDescent="0.25">
      <c r="A3">
        <v>2</v>
      </c>
      <c r="B3" s="98">
        <v>52</v>
      </c>
      <c r="C3" s="98">
        <v>51.271999999999998</v>
      </c>
      <c r="D3" s="98">
        <v>185.66495999999998</v>
      </c>
      <c r="E3" s="98">
        <v>185.8142</v>
      </c>
      <c r="F3" s="98">
        <v>127.4</v>
      </c>
      <c r="G3" s="98">
        <v>104.83200000000002</v>
      </c>
      <c r="H3" s="98">
        <v>200.54943999999995</v>
      </c>
      <c r="I3" s="98">
        <v>358.8</v>
      </c>
      <c r="J3" s="98">
        <v>757.12</v>
      </c>
      <c r="K3" s="98">
        <v>1131.52</v>
      </c>
      <c r="L3" s="98">
        <v>901.68000000000006</v>
      </c>
      <c r="M3" s="98">
        <v>2331.9566400000008</v>
      </c>
      <c r="N3" s="98"/>
      <c r="O3" s="98"/>
    </row>
    <row r="4" spans="1:15" x14ac:dyDescent="0.25">
      <c r="A4">
        <v>3</v>
      </c>
      <c r="B4" s="98">
        <v>28.080000000000002</v>
      </c>
      <c r="C4" s="98">
        <v>44.46</v>
      </c>
      <c r="D4" s="98">
        <v>74.88</v>
      </c>
      <c r="E4" s="98">
        <v>109.2</v>
      </c>
      <c r="F4" s="98">
        <v>56.160000000000004</v>
      </c>
      <c r="G4" s="98">
        <v>76.44</v>
      </c>
      <c r="H4" s="98">
        <v>26</v>
      </c>
      <c r="I4" s="98">
        <v>26</v>
      </c>
      <c r="J4" s="98">
        <v>0</v>
      </c>
      <c r="K4" s="98">
        <v>0</v>
      </c>
      <c r="L4" s="98">
        <v>0</v>
      </c>
      <c r="M4" s="98">
        <v>0</v>
      </c>
      <c r="N4" s="98">
        <v>0</v>
      </c>
      <c r="O4" s="98">
        <v>0</v>
      </c>
    </row>
    <row r="5" spans="1:15" x14ac:dyDescent="0.25">
      <c r="A5">
        <v>4</v>
      </c>
      <c r="B5" s="98">
        <v>23.400000000000002</v>
      </c>
      <c r="C5" s="98">
        <v>39</v>
      </c>
      <c r="D5" s="98">
        <v>26</v>
      </c>
      <c r="E5" s="98">
        <v>26</v>
      </c>
      <c r="F5" s="98">
        <v>26</v>
      </c>
      <c r="G5" s="98">
        <v>26</v>
      </c>
      <c r="H5" s="98">
        <v>26</v>
      </c>
      <c r="I5" s="98">
        <v>26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</row>
    <row r="6" spans="1:15" x14ac:dyDescent="0.25">
      <c r="A6">
        <v>5</v>
      </c>
      <c r="B6" s="98">
        <v>14.040000000000001</v>
      </c>
      <c r="C6" s="98">
        <v>24.96</v>
      </c>
      <c r="D6" s="98">
        <v>24.96</v>
      </c>
      <c r="E6" s="98">
        <v>56.160000000000004</v>
      </c>
      <c r="F6" s="98">
        <v>26</v>
      </c>
      <c r="G6" s="98">
        <v>52</v>
      </c>
      <c r="H6" s="98">
        <v>202.05848</v>
      </c>
      <c r="I6" s="98">
        <v>179.01000000000002</v>
      </c>
      <c r="J6" s="98">
        <v>260</v>
      </c>
      <c r="K6" s="98">
        <v>761.904</v>
      </c>
      <c r="L6" s="98">
        <v>1177.1760000000002</v>
      </c>
      <c r="M6" s="98">
        <v>2714.9907199999998</v>
      </c>
      <c r="N6" s="98"/>
      <c r="O6" s="98"/>
    </row>
    <row r="7" spans="1:15" x14ac:dyDescent="0.25">
      <c r="A7">
        <v>6</v>
      </c>
      <c r="B7" s="98">
        <v>24.96</v>
      </c>
      <c r="C7" s="98">
        <v>9.36</v>
      </c>
      <c r="D7" s="98">
        <v>99.84</v>
      </c>
      <c r="E7" s="98">
        <v>92.04000000000002</v>
      </c>
      <c r="F7" s="98">
        <v>93.600000000000009</v>
      </c>
      <c r="G7" s="98">
        <v>65.52</v>
      </c>
      <c r="H7" s="98">
        <v>189.69600000000003</v>
      </c>
      <c r="I7" s="98">
        <v>234.26000000000002</v>
      </c>
      <c r="J7" s="98">
        <v>1113.8400000000001</v>
      </c>
      <c r="K7" s="98">
        <v>2196.48</v>
      </c>
      <c r="L7" s="98"/>
      <c r="M7" s="98"/>
      <c r="N7" s="98"/>
      <c r="O7" s="98"/>
    </row>
    <row r="8" spans="1:15" x14ac:dyDescent="0.25">
      <c r="A8">
        <v>7</v>
      </c>
      <c r="B8" s="98">
        <v>14.040000000000001</v>
      </c>
      <c r="C8" s="98">
        <v>29.12</v>
      </c>
      <c r="D8" s="98">
        <v>67.310879999999997</v>
      </c>
      <c r="E8" s="98">
        <v>84.240000000000009</v>
      </c>
      <c r="F8" s="98">
        <v>58.000800000000005</v>
      </c>
      <c r="G8" s="98">
        <v>39</v>
      </c>
      <c r="H8" s="98">
        <v>39</v>
      </c>
      <c r="I8" s="98">
        <v>52</v>
      </c>
      <c r="J8" s="98">
        <v>26</v>
      </c>
      <c r="K8" s="98">
        <v>39</v>
      </c>
      <c r="L8" s="98">
        <v>52</v>
      </c>
      <c r="M8" s="98">
        <v>168.428</v>
      </c>
      <c r="N8" s="98">
        <v>735.88943999999992</v>
      </c>
      <c r="O8" s="98">
        <v>962.94744000000003</v>
      </c>
    </row>
    <row r="9" spans="1:15" x14ac:dyDescent="0.25">
      <c r="A9">
        <v>8</v>
      </c>
      <c r="B9" s="98">
        <v>52</v>
      </c>
      <c r="C9" s="98">
        <v>40.950000000000003</v>
      </c>
      <c r="D9" s="98">
        <v>24.96</v>
      </c>
      <c r="E9" s="98">
        <v>39</v>
      </c>
      <c r="F9" s="98">
        <v>37.44</v>
      </c>
      <c r="G9" s="98">
        <v>89.18</v>
      </c>
      <c r="H9" s="98">
        <v>260</v>
      </c>
      <c r="I9" s="98">
        <v>662.48</v>
      </c>
      <c r="J9" s="98">
        <v>1153.6200000000001</v>
      </c>
      <c r="K9" s="98">
        <v>2395.8791999999994</v>
      </c>
      <c r="L9" s="98"/>
      <c r="M9" s="98"/>
      <c r="N9" s="98"/>
      <c r="O9" s="98"/>
    </row>
    <row r="10" spans="1:15" x14ac:dyDescent="0.25">
      <c r="A10">
        <v>9</v>
      </c>
      <c r="B10" s="98">
        <v>39</v>
      </c>
      <c r="C10" s="98">
        <v>46.800000000000004</v>
      </c>
      <c r="D10" s="98">
        <v>84.240000000000009</v>
      </c>
      <c r="E10" s="98">
        <v>99.84</v>
      </c>
      <c r="F10" s="98">
        <v>26</v>
      </c>
      <c r="G10" s="98">
        <v>26</v>
      </c>
      <c r="H10" s="98">
        <v>41.6</v>
      </c>
      <c r="I10" s="98">
        <v>56.160000000000004</v>
      </c>
      <c r="J10" s="98">
        <v>468</v>
      </c>
      <c r="K10" s="98">
        <v>1123.2</v>
      </c>
      <c r="L10" s="98">
        <v>1954.2639999999999</v>
      </c>
      <c r="M10" s="98">
        <v>7947.8880000000008</v>
      </c>
      <c r="N10" s="98"/>
      <c r="O10" s="98"/>
    </row>
    <row r="11" spans="1:15" x14ac:dyDescent="0.25">
      <c r="A11">
        <v>10</v>
      </c>
      <c r="B11">
        <v>14.040000000000001</v>
      </c>
      <c r="C11">
        <v>76.44</v>
      </c>
      <c r="D11">
        <v>75.14</v>
      </c>
      <c r="E11">
        <v>91.97760000000001</v>
      </c>
      <c r="F11">
        <v>26</v>
      </c>
      <c r="G11">
        <v>26</v>
      </c>
      <c r="H11">
        <v>26</v>
      </c>
      <c r="I11">
        <v>14.040000000000001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93</v>
      </c>
      <c r="B12">
        <v>28.028000000000002</v>
      </c>
      <c r="C12">
        <v>37.172199999999997</v>
      </c>
      <c r="D12">
        <v>72.851584000000003</v>
      </c>
      <c r="E12">
        <v>83.595980000000012</v>
      </c>
      <c r="F12">
        <v>50.260080000000002</v>
      </c>
      <c r="G12">
        <v>53.097200000000001</v>
      </c>
      <c r="H12">
        <v>103.690392</v>
      </c>
      <c r="I12">
        <v>162.27900000000002</v>
      </c>
      <c r="J12">
        <v>377.858</v>
      </c>
      <c r="K12">
        <v>764.79831999999999</v>
      </c>
      <c r="L12">
        <v>908.51199999999994</v>
      </c>
      <c r="M12">
        <v>1250.038464</v>
      </c>
      <c r="N12">
        <v>1323.5889439999999</v>
      </c>
      <c r="O12">
        <v>1346.294744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7" sqref="D7"/>
    </sheetView>
  </sheetViews>
  <sheetFormatPr defaultRowHeight="15" x14ac:dyDescent="0.25"/>
  <sheetData>
    <row r="1" spans="1:3" x14ac:dyDescent="0.25">
      <c r="A1" t="s">
        <v>94</v>
      </c>
      <c r="B1" t="s">
        <v>96</v>
      </c>
      <c r="C1" t="s">
        <v>95</v>
      </c>
    </row>
    <row r="2" spans="1:3" x14ac:dyDescent="0.25">
      <c r="A2">
        <v>0</v>
      </c>
      <c r="C2" s="99">
        <v>0.4</v>
      </c>
    </row>
    <row r="3" spans="1:3" x14ac:dyDescent="0.25">
      <c r="A3">
        <v>1</v>
      </c>
      <c r="C3" s="99">
        <v>0.59670454606758705</v>
      </c>
    </row>
    <row r="4" spans="1:3" x14ac:dyDescent="0.25">
      <c r="A4">
        <v>2</v>
      </c>
      <c r="C4" s="99">
        <v>0.89011675112661803</v>
      </c>
    </row>
    <row r="5" spans="1:3" x14ac:dyDescent="0.25">
      <c r="A5">
        <v>3</v>
      </c>
      <c r="C5" s="99">
        <v>1.32775395331777</v>
      </c>
    </row>
    <row r="6" spans="1:3" x14ac:dyDescent="0.25">
      <c r="A6">
        <v>4</v>
      </c>
      <c r="C6" s="99">
        <v>1.9804492963440801</v>
      </c>
    </row>
    <row r="7" spans="1:3" x14ac:dyDescent="0.25">
      <c r="A7">
        <v>5</v>
      </c>
      <c r="C7" s="99">
        <v>2.9537581778688899</v>
      </c>
    </row>
    <row r="8" spans="1:3" x14ac:dyDescent="0.25">
      <c r="A8">
        <v>6</v>
      </c>
      <c r="C8" s="99">
        <v>4.4049139628675897</v>
      </c>
    </row>
    <row r="9" spans="1:3" x14ac:dyDescent="0.25">
      <c r="A9">
        <v>7</v>
      </c>
      <c r="C9" s="99">
        <v>6.5680195318449304</v>
      </c>
    </row>
    <row r="10" spans="1:3" x14ac:dyDescent="0.25">
      <c r="A10">
        <v>8</v>
      </c>
      <c r="C10" s="99">
        <v>5.4363033349910399</v>
      </c>
    </row>
    <row r="11" spans="1:3" x14ac:dyDescent="0.25">
      <c r="A11">
        <v>9</v>
      </c>
      <c r="C11" s="99">
        <v>4.6405305673153503</v>
      </c>
    </row>
    <row r="12" spans="1:3" x14ac:dyDescent="0.25">
      <c r="A12">
        <v>10</v>
      </c>
      <c r="C12" s="99">
        <v>4.12536230775327</v>
      </c>
    </row>
    <row r="13" spans="1:3" x14ac:dyDescent="0.25">
      <c r="A13">
        <v>11</v>
      </c>
      <c r="C13" s="99">
        <v>3.2928445404622702</v>
      </c>
    </row>
    <row r="14" spans="1:3" x14ac:dyDescent="0.25">
      <c r="A14">
        <v>12</v>
      </c>
      <c r="C14" s="99">
        <v>2.78748799977132</v>
      </c>
    </row>
    <row r="15" spans="1:3" x14ac:dyDescent="0.25">
      <c r="A15">
        <v>13</v>
      </c>
      <c r="C15" s="99">
        <v>2.4671713691252202</v>
      </c>
    </row>
    <row r="16" spans="1:3" x14ac:dyDescent="0.25">
      <c r="A16">
        <v>14</v>
      </c>
      <c r="C16" s="99">
        <v>2.0353088326905899</v>
      </c>
    </row>
    <row r="17" spans="1:3" x14ac:dyDescent="0.25">
      <c r="A17">
        <v>15</v>
      </c>
      <c r="C17" s="99">
        <v>1.75887149678235</v>
      </c>
    </row>
    <row r="18" spans="1:3" x14ac:dyDescent="0.25">
      <c r="A18">
        <v>16</v>
      </c>
      <c r="C18" s="99">
        <v>1.57758051420267</v>
      </c>
    </row>
    <row r="19" spans="1:3" x14ac:dyDescent="0.25">
      <c r="A19">
        <v>17</v>
      </c>
      <c r="C19" s="99">
        <v>1.344800395714</v>
      </c>
    </row>
    <row r="20" spans="1:3" x14ac:dyDescent="0.25">
      <c r="A20">
        <v>18</v>
      </c>
      <c r="C20" s="99">
        <v>1.1891626904534101</v>
      </c>
    </row>
    <row r="21" spans="1:3" x14ac:dyDescent="0.25">
      <c r="A21">
        <v>19</v>
      </c>
      <c r="C21" s="99">
        <v>1.0844615455329401</v>
      </c>
    </row>
    <row r="22" spans="1:3" x14ac:dyDescent="0.25">
      <c r="A22">
        <v>20</v>
      </c>
      <c r="C22" s="99">
        <v>0.95191703692521601</v>
      </c>
    </row>
    <row r="23" spans="1:3" x14ac:dyDescent="0.25">
      <c r="A23">
        <v>21</v>
      </c>
      <c r="C23" s="99">
        <v>0.86105207296542396</v>
      </c>
    </row>
    <row r="24" spans="1:3" x14ac:dyDescent="0.25">
      <c r="A24">
        <v>22</v>
      </c>
      <c r="C24" s="99">
        <v>0.79951766574985905</v>
      </c>
    </row>
    <row r="25" spans="1:3" x14ac:dyDescent="0.25">
      <c r="A25">
        <v>23</v>
      </c>
      <c r="C25" s="99">
        <v>0.72111208647339697</v>
      </c>
    </row>
    <row r="26" spans="1:3" x14ac:dyDescent="0.25">
      <c r="A26">
        <v>24</v>
      </c>
      <c r="C26" s="99">
        <v>0.66715882531456505</v>
      </c>
    </row>
    <row r="27" spans="1:3" x14ac:dyDescent="0.25">
      <c r="A27">
        <v>25</v>
      </c>
      <c r="C27" s="99">
        <v>0.63143156076658602</v>
      </c>
    </row>
    <row r="28" spans="1:3" x14ac:dyDescent="0.25">
      <c r="A28">
        <v>26</v>
      </c>
      <c r="C28" s="99">
        <v>0.60987196075198102</v>
      </c>
    </row>
    <row r="29" spans="1:3" x14ac:dyDescent="0.25">
      <c r="A29">
        <v>27</v>
      </c>
      <c r="C29" s="99">
        <v>0.599965368966215</v>
      </c>
    </row>
    <row r="30" spans="1:3" x14ac:dyDescent="0.25">
      <c r="A30">
        <v>28</v>
      </c>
      <c r="C30" s="99">
        <v>0.6002131869499</v>
      </c>
    </row>
    <row r="31" spans="1:3" x14ac:dyDescent="0.25">
      <c r="A31">
        <v>29</v>
      </c>
      <c r="C31" s="99">
        <v>0.60983441260589799</v>
      </c>
    </row>
    <row r="32" spans="1:3" x14ac:dyDescent="0.25">
      <c r="A32">
        <v>30</v>
      </c>
      <c r="C32" s="99">
        <v>0.62859784205352398</v>
      </c>
    </row>
    <row r="33" spans="1:3" x14ac:dyDescent="0.25">
      <c r="A33">
        <v>31</v>
      </c>
      <c r="C33" s="99">
        <v>0.65673452261209597</v>
      </c>
    </row>
    <row r="34" spans="1:3" x14ac:dyDescent="0.25">
      <c r="A34">
        <v>32</v>
      </c>
      <c r="C34" s="99">
        <v>0.69490428735505605</v>
      </c>
    </row>
    <row r="35" spans="1:3" x14ac:dyDescent="0.25">
      <c r="A35">
        <v>33</v>
      </c>
      <c r="C35" s="99">
        <v>0.744203399789787</v>
      </c>
    </row>
    <row r="36" spans="1:3" x14ac:dyDescent="0.25">
      <c r="A36">
        <v>34</v>
      </c>
      <c r="C36" s="99">
        <v>0.80620828263368105</v>
      </c>
    </row>
    <row r="37" spans="1:3" x14ac:dyDescent="0.25">
      <c r="A37">
        <v>35</v>
      </c>
      <c r="C37" s="99">
        <v>0.88305583834773305</v>
      </c>
    </row>
    <row r="38" spans="1:3" x14ac:dyDescent="0.25">
      <c r="A38">
        <v>36</v>
      </c>
      <c r="C38" s="99">
        <v>0.97756554696502795</v>
      </c>
    </row>
    <row r="39" spans="1:3" x14ac:dyDescent="0.25">
      <c r="A39">
        <v>37</v>
      </c>
      <c r="C39" s="99">
        <v>1.0934133646346</v>
      </c>
    </row>
    <row r="40" spans="1:3" x14ac:dyDescent="0.25">
      <c r="A40">
        <v>38</v>
      </c>
      <c r="C40" s="99">
        <v>1.2353732964727999</v>
      </c>
    </row>
    <row r="41" spans="1:3" x14ac:dyDescent="0.25">
      <c r="A41">
        <v>39</v>
      </c>
      <c r="C41" s="99">
        <v>1.4096503032841201</v>
      </c>
    </row>
    <row r="42" spans="1:3" x14ac:dyDescent="0.25">
      <c r="A42">
        <v>40</v>
      </c>
      <c r="C42" s="99">
        <v>1.6243391172031201</v>
      </c>
    </row>
    <row r="43" spans="1:3" x14ac:dyDescent="0.25">
      <c r="A43">
        <v>41</v>
      </c>
      <c r="C43" s="99">
        <v>1.89005927550597</v>
      </c>
    </row>
    <row r="44" spans="1:3" x14ac:dyDescent="0.25">
      <c r="A44">
        <v>42</v>
      </c>
      <c r="C44" s="99">
        <v>2.2208397211298898</v>
      </c>
    </row>
    <row r="45" spans="1:3" x14ac:dyDescent="0.25">
      <c r="A45">
        <v>43</v>
      </c>
      <c r="C45" s="99">
        <v>2.63536037750678</v>
      </c>
    </row>
    <row r="46" spans="1:3" x14ac:dyDescent="0.25">
      <c r="A46">
        <v>44</v>
      </c>
      <c r="C46" s="99">
        <v>3.1587087496423698</v>
      </c>
    </row>
    <row r="47" spans="1:3" x14ac:dyDescent="0.25">
      <c r="A47">
        <v>45</v>
      </c>
      <c r="C47" s="99">
        <v>3.8248851313849501</v>
      </c>
    </row>
    <row r="48" spans="1:3" x14ac:dyDescent="0.25">
      <c r="A48">
        <v>46</v>
      </c>
      <c r="C48" s="99">
        <v>4.6804026399789702</v>
      </c>
    </row>
    <row r="49" spans="1:3" x14ac:dyDescent="0.25">
      <c r="A49">
        <v>47</v>
      </c>
      <c r="C49" s="99">
        <v>5.7894957228802797</v>
      </c>
    </row>
    <row r="50" spans="1:3" x14ac:dyDescent="0.25">
      <c r="A50">
        <v>48</v>
      </c>
      <c r="C50" s="99">
        <v>7.24169774905255</v>
      </c>
    </row>
    <row r="51" spans="1:3" x14ac:dyDescent="0.25">
      <c r="A51">
        <v>49</v>
      </c>
      <c r="C51" s="99">
        <v>9.1629079363040695</v>
      </c>
    </row>
    <row r="52" spans="1:3" x14ac:dyDescent="0.25">
      <c r="A52">
        <v>50</v>
      </c>
      <c r="C52" s="99">
        <v>11.731581453926999</v>
      </c>
    </row>
    <row r="53" spans="1:3" x14ac:dyDescent="0.25">
      <c r="A53">
        <v>51</v>
      </c>
      <c r="C53" s="99">
        <v>15.2023897715404</v>
      </c>
    </row>
    <row r="54" spans="1:3" x14ac:dyDescent="0.25">
      <c r="A54">
        <v>52</v>
      </c>
      <c r="C54" s="99">
        <v>19.940651014291898</v>
      </c>
    </row>
    <row r="55" spans="1:3" x14ac:dyDescent="0.25">
      <c r="A55">
        <v>53</v>
      </c>
      <c r="C55" s="99">
        <v>26.472035024572701</v>
      </c>
    </row>
    <row r="56" spans="1:3" x14ac:dyDescent="0.25">
      <c r="A56">
        <v>54</v>
      </c>
      <c r="C56" s="99">
        <v>35.553451986117501</v>
      </c>
    </row>
    <row r="57" spans="1:3" x14ac:dyDescent="0.25">
      <c r="A57">
        <v>55</v>
      </c>
      <c r="C57" s="99">
        <v>48.272445723378901</v>
      </c>
    </row>
    <row r="58" spans="1:3" x14ac:dyDescent="0.25">
      <c r="A58">
        <v>56</v>
      </c>
      <c r="C58" s="99">
        <v>66.183356681716404</v>
      </c>
    </row>
    <row r="59" spans="1:3" x14ac:dyDescent="0.25">
      <c r="A59">
        <v>57</v>
      </c>
      <c r="C59" s="99">
        <v>91.487919614585905</v>
      </c>
    </row>
    <row r="60" spans="1:3" x14ac:dyDescent="0.25">
      <c r="A60">
        <v>58</v>
      </c>
      <c r="C60" s="99">
        <v>127.26352344074</v>
      </c>
    </row>
    <row r="61" spans="1:3" x14ac:dyDescent="0.25">
      <c r="A61">
        <v>59</v>
      </c>
      <c r="C61" s="99">
        <v>177.729574908236</v>
      </c>
    </row>
    <row r="62" spans="1:3" x14ac:dyDescent="0.25">
      <c r="A62">
        <v>60</v>
      </c>
      <c r="C62" s="99">
        <v>248.513507843388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11" sqref="B11:O1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39</v>
      </c>
      <c r="C2" s="98">
        <v>45.5</v>
      </c>
      <c r="D2" s="98">
        <v>49.088000000000008</v>
      </c>
      <c r="E2" s="98">
        <v>57.890560000000001</v>
      </c>
      <c r="F2" s="98">
        <v>109.2</v>
      </c>
      <c r="G2" s="98">
        <v>76.190400000000011</v>
      </c>
      <c r="H2" s="98">
        <v>65</v>
      </c>
      <c r="I2" s="98">
        <v>14.040000000000001</v>
      </c>
      <c r="J2" s="98">
        <v>0</v>
      </c>
      <c r="K2" s="98">
        <v>0</v>
      </c>
      <c r="L2" s="98">
        <v>0</v>
      </c>
      <c r="M2" s="98">
        <v>0</v>
      </c>
      <c r="N2" s="98">
        <v>0</v>
      </c>
      <c r="O2" s="98">
        <v>0</v>
      </c>
    </row>
    <row r="3" spans="1:15" x14ac:dyDescent="0.25">
      <c r="A3">
        <v>2</v>
      </c>
      <c r="B3" s="98">
        <v>18.72</v>
      </c>
      <c r="C3" s="98">
        <v>31.200000000000003</v>
      </c>
      <c r="D3" s="98">
        <v>39</v>
      </c>
      <c r="E3" s="98">
        <v>112.32000000000001</v>
      </c>
      <c r="F3" s="98">
        <v>52</v>
      </c>
      <c r="G3" s="98">
        <v>60.32</v>
      </c>
      <c r="H3" s="98">
        <v>39</v>
      </c>
      <c r="I3" s="98">
        <v>39</v>
      </c>
      <c r="J3" s="98">
        <v>0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</row>
    <row r="4" spans="1:15" x14ac:dyDescent="0.25">
      <c r="A4">
        <v>3</v>
      </c>
      <c r="B4" s="98">
        <v>14.040000000000001</v>
      </c>
      <c r="C4" s="98">
        <v>14.040000000000001</v>
      </c>
      <c r="D4" s="98">
        <v>14.040000000000001</v>
      </c>
      <c r="E4" s="98">
        <v>14.040000000000001</v>
      </c>
      <c r="F4" s="98">
        <v>26</v>
      </c>
      <c r="G4" s="98">
        <v>26</v>
      </c>
      <c r="H4" s="98">
        <v>26</v>
      </c>
      <c r="I4" s="98">
        <v>0</v>
      </c>
      <c r="J4" s="98">
        <v>0</v>
      </c>
      <c r="K4" s="98">
        <v>0</v>
      </c>
      <c r="L4" s="98">
        <v>0</v>
      </c>
      <c r="M4" s="98">
        <v>0</v>
      </c>
      <c r="N4" s="98">
        <v>0</v>
      </c>
      <c r="O4" s="98">
        <v>0</v>
      </c>
    </row>
    <row r="5" spans="1:15" x14ac:dyDescent="0.25">
      <c r="A5">
        <v>4</v>
      </c>
      <c r="B5" s="98">
        <v>18.72</v>
      </c>
      <c r="C5" s="98">
        <v>9.36</v>
      </c>
      <c r="D5" s="98">
        <v>9.36</v>
      </c>
      <c r="E5" s="98">
        <v>14.040000000000001</v>
      </c>
      <c r="F5" s="98">
        <v>14.040000000000001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</row>
    <row r="6" spans="1:15" x14ac:dyDescent="0.25">
      <c r="A6">
        <v>5</v>
      </c>
      <c r="B6" s="98">
        <v>28.080000000000002</v>
      </c>
      <c r="C6" s="98">
        <v>0</v>
      </c>
      <c r="D6" s="98">
        <v>14.040000000000001</v>
      </c>
      <c r="E6" s="98">
        <v>31.46</v>
      </c>
      <c r="F6" s="98">
        <v>65</v>
      </c>
      <c r="G6" s="98">
        <v>74.88</v>
      </c>
      <c r="H6" s="98">
        <v>168.89600000000002</v>
      </c>
      <c r="I6" s="98">
        <v>196.19600000000005</v>
      </c>
      <c r="J6" s="98">
        <v>153.64440000000002</v>
      </c>
      <c r="K6" s="98">
        <v>400.40000000000003</v>
      </c>
      <c r="L6" s="98">
        <v>938.99519999999995</v>
      </c>
      <c r="M6" s="98">
        <v>3003.4747600000001</v>
      </c>
      <c r="N6" s="98"/>
      <c r="O6" s="98"/>
    </row>
    <row r="7" spans="1:15" x14ac:dyDescent="0.25">
      <c r="A7">
        <v>6</v>
      </c>
      <c r="B7" s="98">
        <v>16.64</v>
      </c>
      <c r="C7" s="98">
        <v>9.36</v>
      </c>
      <c r="D7" s="98">
        <v>45.5</v>
      </c>
      <c r="E7" s="98">
        <v>14.040000000000001</v>
      </c>
      <c r="F7" s="98">
        <v>39</v>
      </c>
      <c r="G7" s="98">
        <v>39</v>
      </c>
      <c r="H7" s="98">
        <v>39</v>
      </c>
      <c r="I7" s="98">
        <v>39</v>
      </c>
      <c r="J7" s="98">
        <v>14.040000000000001</v>
      </c>
      <c r="K7" s="98">
        <v>14.040000000000001</v>
      </c>
      <c r="L7" s="98">
        <v>52</v>
      </c>
      <c r="M7" s="98">
        <v>156.34943999999999</v>
      </c>
      <c r="N7" s="98">
        <v>172.64519999999999</v>
      </c>
      <c r="O7" s="98">
        <v>434.30399999999997</v>
      </c>
    </row>
    <row r="8" spans="1:15" x14ac:dyDescent="0.25">
      <c r="A8">
        <v>7</v>
      </c>
      <c r="B8" s="98">
        <v>14.040000000000001</v>
      </c>
      <c r="C8" s="98">
        <v>0</v>
      </c>
      <c r="D8" s="98">
        <v>72.084479999999999</v>
      </c>
      <c r="E8" s="98">
        <v>100.9008</v>
      </c>
      <c r="F8" s="98">
        <v>66.393599999999992</v>
      </c>
      <c r="G8" s="98">
        <v>104.83200000000002</v>
      </c>
      <c r="H8" s="98">
        <v>102.50240000000001</v>
      </c>
      <c r="I8" s="98">
        <v>449.93520000000001</v>
      </c>
      <c r="J8" s="98">
        <v>656.65599999999995</v>
      </c>
      <c r="K8" s="98">
        <v>2061.6960000000004</v>
      </c>
      <c r="L8" s="98"/>
      <c r="M8" s="98"/>
      <c r="N8" s="98"/>
      <c r="O8" s="98"/>
    </row>
    <row r="9" spans="1:15" x14ac:dyDescent="0.25">
      <c r="A9">
        <v>8</v>
      </c>
      <c r="B9" s="98">
        <v>24.96</v>
      </c>
      <c r="C9" s="98">
        <v>24.96</v>
      </c>
      <c r="D9" s="98">
        <v>70.287880000000001</v>
      </c>
      <c r="E9" s="98">
        <v>26</v>
      </c>
      <c r="F9" s="98">
        <v>26</v>
      </c>
      <c r="G9" s="98">
        <v>26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</row>
    <row r="10" spans="1:15" x14ac:dyDescent="0.25">
      <c r="A10">
        <v>9</v>
      </c>
      <c r="B10" s="98">
        <v>54.6</v>
      </c>
      <c r="C10" s="98">
        <v>40.497600000000006</v>
      </c>
      <c r="D10" s="98">
        <v>112.6944</v>
      </c>
      <c r="E10" s="98">
        <v>102.73536000000001</v>
      </c>
      <c r="F10" s="98">
        <v>120.11999999999999</v>
      </c>
      <c r="G10" s="98">
        <v>96.969600000000014</v>
      </c>
      <c r="H10" s="98">
        <v>127.4</v>
      </c>
      <c r="I10" s="98">
        <v>161.304</v>
      </c>
      <c r="J10" s="98">
        <v>300.14400000000006</v>
      </c>
      <c r="K10" s="98">
        <v>447.28320000000008</v>
      </c>
      <c r="L10" s="98">
        <v>452.86592000000007</v>
      </c>
      <c r="M10" s="98">
        <v>1288.6016000000002</v>
      </c>
      <c r="N10" s="98">
        <v>2222.4384</v>
      </c>
      <c r="O10" s="98"/>
    </row>
    <row r="11" spans="1:15" x14ac:dyDescent="0.25">
      <c r="A11" t="s">
        <v>93</v>
      </c>
      <c r="B11">
        <v>25.422222222222221</v>
      </c>
      <c r="C11">
        <v>19.435288888888891</v>
      </c>
      <c r="D11">
        <v>47.343862222222214</v>
      </c>
      <c r="E11">
        <v>52.602968888888896</v>
      </c>
      <c r="F11">
        <v>57.528177777777778</v>
      </c>
      <c r="G11">
        <v>56.021333333333331</v>
      </c>
      <c r="H11">
        <v>63.08871111111111</v>
      </c>
      <c r="I11">
        <v>99.941688888888891</v>
      </c>
      <c r="J11">
        <v>124.94271111111112</v>
      </c>
      <c r="K11">
        <v>324.8243555555556</v>
      </c>
      <c r="L11">
        <v>438.2067911111111</v>
      </c>
      <c r="M11">
        <v>716.10567111111106</v>
      </c>
      <c r="N11">
        <v>821.67595555555556</v>
      </c>
      <c r="O11">
        <v>881.58933333333334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94</v>
      </c>
      <c r="B1" t="s">
        <v>96</v>
      </c>
      <c r="C1" t="s">
        <v>95</v>
      </c>
    </row>
    <row r="2" spans="1:3" x14ac:dyDescent="0.25">
      <c r="A2">
        <v>0</v>
      </c>
      <c r="C2" s="99">
        <v>0.4</v>
      </c>
    </row>
    <row r="3" spans="1:3" x14ac:dyDescent="0.25">
      <c r="A3">
        <v>1</v>
      </c>
      <c r="C3" s="99">
        <v>0.59670454606758705</v>
      </c>
    </row>
    <row r="4" spans="1:3" x14ac:dyDescent="0.25">
      <c r="A4">
        <v>2</v>
      </c>
      <c r="C4" s="99">
        <v>0.89011675112661803</v>
      </c>
    </row>
    <row r="5" spans="1:3" x14ac:dyDescent="0.25">
      <c r="A5">
        <v>3</v>
      </c>
      <c r="C5" s="99">
        <v>1.32775395331777</v>
      </c>
    </row>
    <row r="6" spans="1:3" x14ac:dyDescent="0.25">
      <c r="A6">
        <v>4</v>
      </c>
      <c r="C6" s="99">
        <v>1.9804492963440801</v>
      </c>
    </row>
    <row r="7" spans="1:3" x14ac:dyDescent="0.25">
      <c r="A7">
        <v>5</v>
      </c>
      <c r="C7" s="99">
        <v>2.9537581778688899</v>
      </c>
    </row>
    <row r="8" spans="1:3" x14ac:dyDescent="0.25">
      <c r="A8">
        <v>6</v>
      </c>
      <c r="C8" s="99">
        <v>4.4049139628675897</v>
      </c>
    </row>
    <row r="9" spans="1:3" x14ac:dyDescent="0.25">
      <c r="A9">
        <v>7</v>
      </c>
      <c r="C9" s="99">
        <v>6.5680195318449304</v>
      </c>
    </row>
    <row r="10" spans="1:3" x14ac:dyDescent="0.25">
      <c r="A10">
        <v>8</v>
      </c>
      <c r="C10" s="99">
        <v>5.4361389580966</v>
      </c>
    </row>
    <row r="11" spans="1:3" x14ac:dyDescent="0.25">
      <c r="A11">
        <v>9</v>
      </c>
      <c r="C11" s="99">
        <v>4.6403786135410101</v>
      </c>
    </row>
    <row r="12" spans="1:3" x14ac:dyDescent="0.25">
      <c r="A12">
        <v>10</v>
      </c>
      <c r="C12" s="99">
        <v>4.1252149322102802</v>
      </c>
    </row>
    <row r="13" spans="1:3" x14ac:dyDescent="0.25">
      <c r="A13">
        <v>11</v>
      </c>
      <c r="C13" s="99">
        <v>3.2926352877736602</v>
      </c>
    </row>
    <row r="14" spans="1:3" x14ac:dyDescent="0.25">
      <c r="A14">
        <v>12</v>
      </c>
      <c r="C14" s="99">
        <v>2.78729120041575</v>
      </c>
    </row>
    <row r="15" spans="1:3" x14ac:dyDescent="0.25">
      <c r="A15">
        <v>13</v>
      </c>
      <c r="C15" s="99">
        <v>2.4669774250832401</v>
      </c>
    </row>
    <row r="16" spans="1:3" x14ac:dyDescent="0.25">
      <c r="A16">
        <v>14</v>
      </c>
      <c r="C16" s="99">
        <v>2.0350600210557301</v>
      </c>
    </row>
    <row r="17" spans="1:3" x14ac:dyDescent="0.25">
      <c r="A17">
        <v>15</v>
      </c>
      <c r="C17" s="99">
        <v>1.75863333966749</v>
      </c>
    </row>
    <row r="18" spans="1:3" x14ac:dyDescent="0.25">
      <c r="A18">
        <v>16</v>
      </c>
      <c r="C18" s="99">
        <v>1.57734452057284</v>
      </c>
    </row>
    <row r="19" spans="1:3" x14ac:dyDescent="0.25">
      <c r="A19">
        <v>17</v>
      </c>
      <c r="C19" s="99">
        <v>1.4588299767869499</v>
      </c>
    </row>
    <row r="20" spans="1:3" x14ac:dyDescent="0.25">
      <c r="A20">
        <v>18</v>
      </c>
      <c r="C20" s="99">
        <v>1.3850505999303999</v>
      </c>
    </row>
    <row r="21" spans="1:3" x14ac:dyDescent="0.25">
      <c r="A21">
        <v>19</v>
      </c>
      <c r="C21" s="99">
        <v>1.3455600645124599</v>
      </c>
    </row>
    <row r="22" spans="1:3" x14ac:dyDescent="0.25">
      <c r="A22">
        <v>20</v>
      </c>
      <c r="C22" s="99">
        <v>1.33432255844588</v>
      </c>
    </row>
    <row r="23" spans="1:3" x14ac:dyDescent="0.25">
      <c r="A23">
        <v>21</v>
      </c>
      <c r="C23" s="99">
        <v>1.34810369916798</v>
      </c>
    </row>
    <row r="24" spans="1:3" x14ac:dyDescent="0.25">
      <c r="A24">
        <v>22</v>
      </c>
      <c r="C24" s="99">
        <v>1.3856323357299001</v>
      </c>
    </row>
    <row r="25" spans="1:3" x14ac:dyDescent="0.25">
      <c r="A25">
        <v>23</v>
      </c>
      <c r="C25" s="99">
        <v>1.44717810213656</v>
      </c>
    </row>
    <row r="26" spans="1:3" x14ac:dyDescent="0.25">
      <c r="A26">
        <v>24</v>
      </c>
      <c r="C26" s="99">
        <v>1.53437934810007</v>
      </c>
    </row>
    <row r="27" spans="1:3" x14ac:dyDescent="0.25">
      <c r="A27">
        <v>25</v>
      </c>
      <c r="C27" s="99">
        <v>1.65024513845765</v>
      </c>
    </row>
    <row r="28" spans="1:3" x14ac:dyDescent="0.25">
      <c r="A28">
        <v>26</v>
      </c>
      <c r="C28" s="99">
        <v>1.7993020674486</v>
      </c>
    </row>
    <row r="29" spans="1:3" x14ac:dyDescent="0.25">
      <c r="A29">
        <v>27</v>
      </c>
      <c r="C29" s="99">
        <v>1.9878860994830101</v>
      </c>
    </row>
    <row r="30" spans="1:3" x14ac:dyDescent="0.25">
      <c r="A30">
        <v>28</v>
      </c>
      <c r="C30" s="99">
        <v>2.2246030484962902</v>
      </c>
    </row>
    <row r="31" spans="1:3" x14ac:dyDescent="0.25">
      <c r="A31">
        <v>29</v>
      </c>
      <c r="C31" s="99">
        <v>2.52100525354196</v>
      </c>
    </row>
    <row r="32" spans="1:3" x14ac:dyDescent="0.25">
      <c r="A32">
        <v>30</v>
      </c>
      <c r="C32" s="99">
        <v>2.8925615876171999</v>
      </c>
    </row>
    <row r="33" spans="1:3" x14ac:dyDescent="0.25">
      <c r="A33">
        <v>31</v>
      </c>
      <c r="C33" s="99">
        <v>3.3600384852005201</v>
      </c>
    </row>
    <row r="34" spans="1:3" x14ac:dyDescent="0.25">
      <c r="A34">
        <v>32</v>
      </c>
      <c r="C34" s="99">
        <v>3.95146803611062</v>
      </c>
    </row>
    <row r="35" spans="1:3" x14ac:dyDescent="0.25">
      <c r="A35">
        <v>33</v>
      </c>
      <c r="C35" s="99">
        <v>4.7049649576793602</v>
      </c>
    </row>
    <row r="36" spans="1:3" x14ac:dyDescent="0.25">
      <c r="A36">
        <v>34</v>
      </c>
      <c r="C36" s="99">
        <v>5.6727811827705104</v>
      </c>
    </row>
    <row r="37" spans="1:3" x14ac:dyDescent="0.25">
      <c r="A37">
        <v>35</v>
      </c>
      <c r="C37" s="99">
        <v>6.9271744797828196</v>
      </c>
    </row>
    <row r="38" spans="1:3" x14ac:dyDescent="0.25">
      <c r="A38">
        <v>36</v>
      </c>
      <c r="C38" s="99">
        <v>8.5689430785777798</v>
      </c>
    </row>
    <row r="39" spans="1:3" x14ac:dyDescent="0.25">
      <c r="A39">
        <v>37</v>
      </c>
      <c r="C39" s="99">
        <v>10.7398774817978</v>
      </c>
    </row>
    <row r="40" spans="1:3" x14ac:dyDescent="0.25">
      <c r="A40">
        <v>38</v>
      </c>
      <c r="C40" s="99">
        <v>13.640947042612799</v>
      </c>
    </row>
    <row r="41" spans="1:3" x14ac:dyDescent="0.25">
      <c r="A41">
        <v>39</v>
      </c>
      <c r="C41" s="99">
        <v>17.558818526746499</v>
      </c>
    </row>
    <row r="42" spans="1:3" x14ac:dyDescent="0.25">
      <c r="A42">
        <v>40</v>
      </c>
      <c r="C42" s="99">
        <v>22.904331719328201</v>
      </c>
    </row>
    <row r="43" spans="1:3" x14ac:dyDescent="0.25">
      <c r="A43">
        <v>41</v>
      </c>
      <c r="C43" s="99">
        <v>30.267829722046301</v>
      </c>
    </row>
    <row r="44" spans="1:3" x14ac:dyDescent="0.25">
      <c r="A44">
        <v>42</v>
      </c>
      <c r="C44" s="99">
        <v>40.497666801674001</v>
      </c>
    </row>
    <row r="45" spans="1:3" x14ac:dyDescent="0.25">
      <c r="A45">
        <v>43</v>
      </c>
      <c r="C45" s="99">
        <v>54.8095202683838</v>
      </c>
    </row>
    <row r="46" spans="1:3" x14ac:dyDescent="0.25">
      <c r="A46">
        <v>44</v>
      </c>
      <c r="C46" s="99">
        <v>74.934672991130498</v>
      </c>
    </row>
    <row r="47" spans="1:3" x14ac:dyDescent="0.25">
      <c r="A47">
        <v>45</v>
      </c>
      <c r="C47" s="99">
        <v>103.313821288553</v>
      </c>
    </row>
    <row r="48" spans="1:3" x14ac:dyDescent="0.25">
      <c r="A48">
        <v>46</v>
      </c>
      <c r="C48" s="99">
        <v>143.336358030101</v>
      </c>
    </row>
    <row r="49" spans="1:3" x14ac:dyDescent="0.25">
      <c r="A49">
        <v>47</v>
      </c>
      <c r="C49" s="99">
        <v>199.60815211284401</v>
      </c>
    </row>
    <row r="50" spans="1:3" x14ac:dyDescent="0.25">
      <c r="A50">
        <v>48</v>
      </c>
      <c r="C50" s="99">
        <v>278.19500061102298</v>
      </c>
    </row>
    <row r="51" spans="1:3" x14ac:dyDescent="0.25">
      <c r="A51">
        <v>49</v>
      </c>
      <c r="C51" s="99">
        <v>386.72396428024098</v>
      </c>
    </row>
    <row r="52" spans="1:3" x14ac:dyDescent="0.25">
      <c r="A52">
        <v>50</v>
      </c>
      <c r="C52" s="99">
        <v>534.128030619892</v>
      </c>
    </row>
    <row r="53" spans="1:3" x14ac:dyDescent="0.25">
      <c r="A53">
        <v>51</v>
      </c>
      <c r="C53" s="99">
        <v>729.72006666974801</v>
      </c>
    </row>
    <row r="54" spans="1:3" x14ac:dyDescent="0.25">
      <c r="A54">
        <v>52</v>
      </c>
      <c r="C54" s="99">
        <v>981.27997417652898</v>
      </c>
    </row>
    <row r="55" spans="1:3" x14ac:dyDescent="0.25">
      <c r="A55">
        <v>53</v>
      </c>
      <c r="C55" s="99">
        <v>1292.1196360702099</v>
      </c>
    </row>
    <row r="56" spans="1:3" x14ac:dyDescent="0.25">
      <c r="A56">
        <v>54</v>
      </c>
      <c r="C56" s="99">
        <v>1657.80050208017</v>
      </c>
    </row>
    <row r="57" spans="1:3" x14ac:dyDescent="0.25">
      <c r="A57">
        <v>55</v>
      </c>
      <c r="C57" s="99">
        <v>2064.0882355482099</v>
      </c>
    </row>
    <row r="58" spans="1:3" x14ac:dyDescent="0.25">
      <c r="A58">
        <v>56</v>
      </c>
      <c r="C58" s="99">
        <v>2487.9884395221202</v>
      </c>
    </row>
    <row r="59" spans="1:3" x14ac:dyDescent="0.25">
      <c r="A59">
        <v>57</v>
      </c>
      <c r="C59" s="99">
        <v>2902.43872723187</v>
      </c>
    </row>
    <row r="60" spans="1:3" x14ac:dyDescent="0.25">
      <c r="A60">
        <v>58</v>
      </c>
      <c r="C60" s="99">
        <v>3282.8893087122501</v>
      </c>
    </row>
    <row r="61" spans="1:3" x14ac:dyDescent="0.25">
      <c r="A61">
        <v>59</v>
      </c>
      <c r="C61" s="99">
        <v>3612.6102555524899</v>
      </c>
    </row>
    <row r="62" spans="1:3" x14ac:dyDescent="0.25">
      <c r="A62">
        <v>60</v>
      </c>
      <c r="C62" s="99">
        <v>3884.5527251756298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E21" sqref="E2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90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98">
        <v>14.040000000000001</v>
      </c>
      <c r="C2" s="98">
        <v>24.96</v>
      </c>
      <c r="D2" s="98">
        <v>56.160000000000004</v>
      </c>
      <c r="E2" s="98">
        <v>66.69</v>
      </c>
      <c r="F2" s="98">
        <v>39</v>
      </c>
      <c r="G2" s="98">
        <v>39.97760000000001</v>
      </c>
      <c r="H2" s="98">
        <v>87.36</v>
      </c>
      <c r="I2" s="98">
        <v>0</v>
      </c>
      <c r="J2" s="98">
        <v>39</v>
      </c>
      <c r="K2" s="98">
        <v>99.84</v>
      </c>
      <c r="L2" s="98">
        <v>82.992000000000004</v>
      </c>
      <c r="M2" s="98">
        <v>557.85599999999999</v>
      </c>
      <c r="N2" s="98">
        <v>1709.91392</v>
      </c>
      <c r="O2" s="98">
        <v>2806.6896000000002</v>
      </c>
    </row>
    <row r="3" spans="1:15" x14ac:dyDescent="0.25">
      <c r="A3">
        <v>2</v>
      </c>
      <c r="B3" s="98">
        <v>39</v>
      </c>
      <c r="C3" s="98">
        <v>51.908999999999999</v>
      </c>
      <c r="D3" s="98">
        <v>117.07799999999999</v>
      </c>
      <c r="E3" s="98">
        <v>67.167360000000016</v>
      </c>
      <c r="F3" s="98">
        <v>76.44</v>
      </c>
      <c r="G3" s="98">
        <v>56.160000000000004</v>
      </c>
      <c r="H3" s="98">
        <v>39</v>
      </c>
      <c r="I3" s="98">
        <v>14.040000000000001</v>
      </c>
      <c r="J3" s="98">
        <v>0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</row>
    <row r="4" spans="1:15" x14ac:dyDescent="0.25">
      <c r="A4">
        <v>3</v>
      </c>
      <c r="B4" s="98">
        <v>39</v>
      </c>
      <c r="C4" s="98">
        <v>51.542400000000001</v>
      </c>
      <c r="D4" s="98">
        <v>134.36799999999999</v>
      </c>
      <c r="E4" s="98">
        <v>76.44</v>
      </c>
      <c r="F4" s="98">
        <v>72.384</v>
      </c>
      <c r="G4" s="98">
        <v>52</v>
      </c>
      <c r="H4" s="98">
        <v>39</v>
      </c>
      <c r="I4" s="98">
        <v>14.040000000000001</v>
      </c>
      <c r="J4" s="98">
        <v>0</v>
      </c>
      <c r="K4" s="98">
        <v>0</v>
      </c>
      <c r="L4" s="98">
        <v>0</v>
      </c>
      <c r="M4" s="98">
        <v>0</v>
      </c>
      <c r="N4" s="98">
        <v>0</v>
      </c>
      <c r="O4" s="98">
        <v>0</v>
      </c>
    </row>
    <row r="5" spans="1:15" x14ac:dyDescent="0.25">
      <c r="A5">
        <v>4</v>
      </c>
      <c r="B5" s="98">
        <v>39</v>
      </c>
      <c r="C5" s="98">
        <v>35.671999999999997</v>
      </c>
      <c r="D5" s="98">
        <v>82.600960000000001</v>
      </c>
      <c r="E5" s="98">
        <v>39</v>
      </c>
      <c r="F5" s="98">
        <v>63.7</v>
      </c>
      <c r="G5" s="98">
        <v>56.160000000000004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</row>
    <row r="6" spans="1:15" x14ac:dyDescent="0.25">
      <c r="A6">
        <v>5</v>
      </c>
      <c r="B6" s="98">
        <v>28.080000000000002</v>
      </c>
      <c r="C6" s="98">
        <v>33.696000000000005</v>
      </c>
      <c r="D6" s="98">
        <v>43.68</v>
      </c>
      <c r="E6" s="98">
        <v>44.225999999999999</v>
      </c>
      <c r="F6" s="98">
        <v>72.8</v>
      </c>
      <c r="G6" s="98">
        <v>52</v>
      </c>
      <c r="H6" s="98">
        <v>65</v>
      </c>
      <c r="I6" s="98">
        <v>65</v>
      </c>
      <c r="J6" s="98">
        <v>153.64440000000002</v>
      </c>
      <c r="K6" s="98">
        <v>307.19</v>
      </c>
      <c r="L6" s="98">
        <v>575.71799999999996</v>
      </c>
      <c r="M6" s="98">
        <v>2806.9911999999999</v>
      </c>
      <c r="N6" s="98"/>
      <c r="O6" s="98"/>
    </row>
    <row r="7" spans="1:15" x14ac:dyDescent="0.25">
      <c r="A7">
        <v>6</v>
      </c>
      <c r="B7" s="98">
        <v>28.080000000000002</v>
      </c>
      <c r="C7" s="98">
        <v>16.64</v>
      </c>
      <c r="D7" s="98">
        <v>87.36</v>
      </c>
      <c r="E7" s="98">
        <v>52.41599999999999</v>
      </c>
      <c r="F7" s="98">
        <v>26</v>
      </c>
      <c r="G7" s="98">
        <v>46.800000000000004</v>
      </c>
      <c r="H7" s="98">
        <v>39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98">
        <v>0</v>
      </c>
    </row>
    <row r="8" spans="1:15" x14ac:dyDescent="0.25">
      <c r="A8">
        <v>7</v>
      </c>
      <c r="B8" s="98">
        <v>12.48</v>
      </c>
      <c r="C8" s="98">
        <v>39</v>
      </c>
      <c r="D8" s="98">
        <v>76.44</v>
      </c>
      <c r="E8" s="98">
        <v>56.160000000000004</v>
      </c>
      <c r="F8" s="98">
        <v>24.96</v>
      </c>
      <c r="G8" s="98">
        <v>26</v>
      </c>
      <c r="H8" s="98">
        <v>26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</row>
    <row r="9" spans="1:15" x14ac:dyDescent="0.25">
      <c r="A9">
        <v>8</v>
      </c>
      <c r="B9" s="98">
        <v>18.72</v>
      </c>
      <c r="C9" s="98">
        <v>35.1</v>
      </c>
      <c r="D9" s="98">
        <v>97.558240000000012</v>
      </c>
      <c r="E9" s="98">
        <v>74.88</v>
      </c>
      <c r="F9" s="98">
        <v>89.18</v>
      </c>
      <c r="G9" s="98">
        <v>65.52</v>
      </c>
      <c r="H9" s="98">
        <v>76.44</v>
      </c>
      <c r="I9" s="98">
        <v>101.92</v>
      </c>
      <c r="J9" s="98">
        <v>300.14400000000006</v>
      </c>
      <c r="K9" s="98">
        <v>187.20000000000002</v>
      </c>
      <c r="L9" s="98">
        <v>143.40144000000004</v>
      </c>
      <c r="M9" s="98">
        <v>543.44783999999993</v>
      </c>
      <c r="N9" s="98">
        <v>1471.1278400000001</v>
      </c>
      <c r="O9" s="98">
        <v>3443.0032000000001</v>
      </c>
    </row>
    <row r="10" spans="1:15" x14ac:dyDescent="0.25">
      <c r="A10">
        <v>9</v>
      </c>
      <c r="B10" s="98">
        <v>39</v>
      </c>
      <c r="C10" s="98">
        <v>39</v>
      </c>
      <c r="D10" s="98">
        <v>39</v>
      </c>
      <c r="E10" s="98">
        <v>56.160000000000004</v>
      </c>
      <c r="F10" s="98">
        <v>26</v>
      </c>
      <c r="G10" s="98">
        <v>56.160000000000004</v>
      </c>
      <c r="H10" s="98">
        <v>74.88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</row>
    <row r="11" spans="1:15" x14ac:dyDescent="0.25">
      <c r="A11" t="s">
        <v>93</v>
      </c>
      <c r="B11">
        <v>28.599999999999998</v>
      </c>
      <c r="C11">
        <v>36.391044444444447</v>
      </c>
      <c r="D11">
        <v>81.582800000000006</v>
      </c>
      <c r="E11">
        <v>59.237706666666668</v>
      </c>
      <c r="F11">
        <v>54.496000000000002</v>
      </c>
      <c r="G11">
        <v>50.086399999999998</v>
      </c>
      <c r="H11">
        <v>49.63111111111111</v>
      </c>
      <c r="I11">
        <v>21.666666666666668</v>
      </c>
      <c r="J11">
        <v>54.754266666666673</v>
      </c>
      <c r="K11">
        <v>66.025555555555556</v>
      </c>
      <c r="L11">
        <v>89.123493333333329</v>
      </c>
      <c r="M11">
        <v>400.14487111111106</v>
      </c>
      <c r="N11">
        <v>631.22686222222228</v>
      </c>
      <c r="O11">
        <v>833.33333333333337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t="s">
        <v>94</v>
      </c>
      <c r="B1" t="s">
        <v>96</v>
      </c>
      <c r="C1" t="s">
        <v>95</v>
      </c>
    </row>
    <row r="2" spans="1:3" x14ac:dyDescent="0.25">
      <c r="A2">
        <v>0</v>
      </c>
      <c r="C2" s="99">
        <v>0.4</v>
      </c>
    </row>
    <row r="3" spans="1:3" x14ac:dyDescent="0.25">
      <c r="A3">
        <v>1</v>
      </c>
      <c r="C3" s="99">
        <v>0.59670454606758705</v>
      </c>
    </row>
    <row r="4" spans="1:3" x14ac:dyDescent="0.25">
      <c r="A4">
        <v>2</v>
      </c>
      <c r="C4" s="99">
        <v>0.89011675112661803</v>
      </c>
    </row>
    <row r="5" spans="1:3" x14ac:dyDescent="0.25">
      <c r="A5">
        <v>3</v>
      </c>
      <c r="C5" s="99">
        <v>1.32775395331777</v>
      </c>
    </row>
    <row r="6" spans="1:3" x14ac:dyDescent="0.25">
      <c r="A6">
        <v>4</v>
      </c>
      <c r="C6" s="99">
        <v>1.9804492963440801</v>
      </c>
    </row>
    <row r="7" spans="1:3" x14ac:dyDescent="0.25">
      <c r="A7">
        <v>5</v>
      </c>
      <c r="C7" s="99">
        <v>2.9537581778688899</v>
      </c>
    </row>
    <row r="8" spans="1:3" x14ac:dyDescent="0.25">
      <c r="A8">
        <v>6</v>
      </c>
      <c r="C8" s="99">
        <v>4.4049139628675897</v>
      </c>
    </row>
    <row r="9" spans="1:3" x14ac:dyDescent="0.25">
      <c r="A9">
        <v>7</v>
      </c>
      <c r="C9" s="99">
        <v>6.5680195318449304</v>
      </c>
    </row>
    <row r="10" spans="1:3" x14ac:dyDescent="0.25">
      <c r="A10">
        <v>8</v>
      </c>
      <c r="C10" s="99">
        <v>5.4361389580966</v>
      </c>
    </row>
    <row r="11" spans="1:3" x14ac:dyDescent="0.25">
      <c r="A11">
        <v>9</v>
      </c>
      <c r="C11" s="99">
        <v>4.6403786135410101</v>
      </c>
    </row>
    <row r="12" spans="1:3" x14ac:dyDescent="0.25">
      <c r="A12">
        <v>10</v>
      </c>
      <c r="C12" s="99">
        <v>4.1252149322102802</v>
      </c>
    </row>
    <row r="13" spans="1:3" x14ac:dyDescent="0.25">
      <c r="A13">
        <v>11</v>
      </c>
      <c r="C13" s="99">
        <v>3.2907121392950001</v>
      </c>
    </row>
    <row r="14" spans="1:3" x14ac:dyDescent="0.25">
      <c r="A14">
        <v>12</v>
      </c>
      <c r="C14" s="99">
        <v>2.7814342969639201</v>
      </c>
    </row>
    <row r="15" spans="1:3" x14ac:dyDescent="0.25">
      <c r="A15">
        <v>13</v>
      </c>
      <c r="C15" s="99">
        <v>2.4560776326851101</v>
      </c>
    </row>
    <row r="16" spans="1:3" x14ac:dyDescent="0.25">
      <c r="A16">
        <v>14</v>
      </c>
      <c r="C16" s="99">
        <v>2.0190991769077899</v>
      </c>
    </row>
    <row r="17" spans="1:3" x14ac:dyDescent="0.25">
      <c r="A17">
        <v>15</v>
      </c>
      <c r="C17" s="99">
        <v>1.7363347676365</v>
      </c>
    </row>
    <row r="18" spans="1:3" x14ac:dyDescent="0.25">
      <c r="A18">
        <v>16</v>
      </c>
      <c r="C18" s="99">
        <v>1.5475570874154501</v>
      </c>
    </row>
    <row r="19" spans="1:3" x14ac:dyDescent="0.25">
      <c r="A19">
        <v>17</v>
      </c>
      <c r="C19" s="99">
        <v>1.41967057238365</v>
      </c>
    </row>
    <row r="20" spans="1:3" x14ac:dyDescent="0.25">
      <c r="A20">
        <v>18</v>
      </c>
      <c r="C20" s="99">
        <v>1.3339316499293701</v>
      </c>
    </row>
    <row r="21" spans="1:3" x14ac:dyDescent="0.25">
      <c r="A21">
        <v>19</v>
      </c>
      <c r="C21" s="99">
        <v>1.27960656456987</v>
      </c>
    </row>
    <row r="22" spans="1:3" x14ac:dyDescent="0.25">
      <c r="A22">
        <v>20</v>
      </c>
      <c r="C22" s="99">
        <v>1.2501313419308799</v>
      </c>
    </row>
    <row r="23" spans="1:3" x14ac:dyDescent="0.25">
      <c r="A23">
        <v>21</v>
      </c>
      <c r="C23" s="99">
        <v>1.24151284337331</v>
      </c>
    </row>
    <row r="24" spans="1:3" x14ac:dyDescent="0.25">
      <c r="A24">
        <v>22</v>
      </c>
      <c r="C24" s="99">
        <v>1.2514595012827301</v>
      </c>
    </row>
    <row r="25" spans="1:3" x14ac:dyDescent="0.25">
      <c r="A25">
        <v>23</v>
      </c>
      <c r="C25" s="99">
        <v>1.2788965433439501</v>
      </c>
    </row>
    <row r="26" spans="1:3" x14ac:dyDescent="0.25">
      <c r="A26">
        <v>24</v>
      </c>
      <c r="C26" s="99">
        <v>1.32369939795029</v>
      </c>
    </row>
    <row r="27" spans="1:3" x14ac:dyDescent="0.25">
      <c r="A27">
        <v>25</v>
      </c>
      <c r="C27" s="99">
        <v>1.38656147964539</v>
      </c>
    </row>
    <row r="28" spans="1:3" x14ac:dyDescent="0.25">
      <c r="A28">
        <v>26</v>
      </c>
      <c r="C28" s="99">
        <v>1.4689536400402801</v>
      </c>
    </row>
    <row r="29" spans="1:3" x14ac:dyDescent="0.25">
      <c r="A29">
        <v>27</v>
      </c>
      <c r="C29" s="99">
        <v>1.5731547996687401</v>
      </c>
    </row>
    <row r="30" spans="1:3" x14ac:dyDescent="0.25">
      <c r="A30">
        <v>28</v>
      </c>
      <c r="C30" s="99">
        <v>1.7023466805582701</v>
      </c>
    </row>
    <row r="31" spans="1:3" x14ac:dyDescent="0.25">
      <c r="A31">
        <v>29</v>
      </c>
      <c r="C31" s="99">
        <v>1.8607749847501101</v>
      </c>
    </row>
    <row r="32" spans="1:3" x14ac:dyDescent="0.25">
      <c r="A32">
        <v>30</v>
      </c>
      <c r="C32" s="99">
        <v>2.0539874251683998</v>
      </c>
    </row>
    <row r="33" spans="1:3" x14ac:dyDescent="0.25">
      <c r="A33">
        <v>31</v>
      </c>
      <c r="C33" s="99">
        <v>2.2891673828123702</v>
      </c>
    </row>
    <row r="34" spans="1:3" x14ac:dyDescent="0.25">
      <c r="A34">
        <v>32</v>
      </c>
      <c r="C34" s="99">
        <v>2.5755919875347399</v>
      </c>
    </row>
    <row r="35" spans="1:3" x14ac:dyDescent="0.25">
      <c r="A35">
        <v>33</v>
      </c>
      <c r="C35" s="99">
        <v>2.9252564810927999</v>
      </c>
    </row>
    <row r="36" spans="1:3" x14ac:dyDescent="0.25">
      <c r="A36">
        <v>34</v>
      </c>
      <c r="C36" s="99">
        <v>3.3537244899231999</v>
      </c>
    </row>
    <row r="37" spans="1:3" x14ac:dyDescent="0.25">
      <c r="A37">
        <v>35</v>
      </c>
      <c r="C37" s="99">
        <v>3.8812884985833902</v>
      </c>
    </row>
    <row r="38" spans="1:3" x14ac:dyDescent="0.25">
      <c r="A38">
        <v>36</v>
      </c>
      <c r="C38" s="99">
        <v>4.53455932223497</v>
      </c>
    </row>
    <row r="39" spans="1:3" x14ac:dyDescent="0.25">
      <c r="A39">
        <v>37</v>
      </c>
      <c r="C39" s="99">
        <v>5.3486517024515301</v>
      </c>
    </row>
    <row r="40" spans="1:3" x14ac:dyDescent="0.25">
      <c r="A40">
        <v>38</v>
      </c>
      <c r="C40" s="99">
        <v>6.3702005542335902</v>
      </c>
    </row>
    <row r="41" spans="1:3" x14ac:dyDescent="0.25">
      <c r="A41">
        <v>39</v>
      </c>
      <c r="C41" s="99">
        <v>7.6615355951430697</v>
      </c>
    </row>
    <row r="42" spans="1:3" x14ac:dyDescent="0.25">
      <c r="A42">
        <v>40</v>
      </c>
      <c r="C42" s="99">
        <v>9.3064692217543392</v>
      </c>
    </row>
    <row r="43" spans="1:3" x14ac:dyDescent="0.25">
      <c r="A43">
        <v>41</v>
      </c>
      <c r="C43" s="99">
        <v>11.4183225630659</v>
      </c>
    </row>
    <row r="44" spans="1:3" x14ac:dyDescent="0.25">
      <c r="A44">
        <v>42</v>
      </c>
      <c r="C44" s="99">
        <v>14.151036021624501</v>
      </c>
    </row>
    <row r="45" spans="1:3" x14ac:dyDescent="0.25">
      <c r="A45">
        <v>43</v>
      </c>
      <c r="C45" s="99">
        <v>17.7144882697085</v>
      </c>
    </row>
    <row r="46" spans="1:3" x14ac:dyDescent="0.25">
      <c r="A46">
        <v>44</v>
      </c>
      <c r="C46" s="99">
        <v>22.3954779631154</v>
      </c>
    </row>
    <row r="47" spans="1:3" x14ac:dyDescent="0.25">
      <c r="A47">
        <v>45</v>
      </c>
      <c r="C47" s="99">
        <v>28.586185075288999</v>
      </c>
    </row>
    <row r="48" spans="1:3" x14ac:dyDescent="0.25">
      <c r="A48">
        <v>46</v>
      </c>
      <c r="C48" s="99">
        <v>36.8222732579734</v>
      </c>
    </row>
    <row r="49" spans="1:3" x14ac:dyDescent="0.25">
      <c r="A49">
        <v>47</v>
      </c>
      <c r="C49" s="99">
        <v>47.8330168719624</v>
      </c>
    </row>
    <row r="50" spans="1:3" x14ac:dyDescent="0.25">
      <c r="A50">
        <v>48</v>
      </c>
      <c r="C50" s="99">
        <v>62.605734435766998</v>
      </c>
    </row>
    <row r="51" spans="1:3" x14ac:dyDescent="0.25">
      <c r="A51">
        <v>49</v>
      </c>
      <c r="C51" s="99">
        <v>82.466002881868604</v>
      </c>
    </row>
    <row r="52" spans="1:3" x14ac:dyDescent="0.25">
      <c r="A52">
        <v>50</v>
      </c>
      <c r="C52" s="99">
        <v>109.172918070755</v>
      </c>
    </row>
    <row r="53" spans="1:3" x14ac:dyDescent="0.25">
      <c r="A53">
        <v>51</v>
      </c>
      <c r="C53" s="99">
        <v>145.02386973791599</v>
      </c>
    </row>
    <row r="54" spans="1:3" x14ac:dyDescent="0.25">
      <c r="A54">
        <v>52</v>
      </c>
      <c r="C54" s="99">
        <v>192.95412181887701</v>
      </c>
    </row>
    <row r="55" spans="1:3" x14ac:dyDescent="0.25">
      <c r="A55">
        <v>53</v>
      </c>
      <c r="C55" s="99">
        <v>256.60077576564998</v>
      </c>
    </row>
    <row r="56" spans="1:3" x14ac:dyDescent="0.25">
      <c r="A56">
        <v>54</v>
      </c>
      <c r="C56" s="99">
        <v>340.2771356403</v>
      </c>
    </row>
    <row r="57" spans="1:3" x14ac:dyDescent="0.25">
      <c r="A57">
        <v>55</v>
      </c>
      <c r="C57" s="99">
        <v>448.77477835940101</v>
      </c>
    </row>
    <row r="58" spans="1:3" x14ac:dyDescent="0.25">
      <c r="A58">
        <v>56</v>
      </c>
      <c r="C58" s="99">
        <v>586.88925535058797</v>
      </c>
    </row>
    <row r="59" spans="1:3" x14ac:dyDescent="0.25">
      <c r="A59">
        <v>57</v>
      </c>
      <c r="C59" s="99">
        <v>758.58016042360396</v>
      </c>
    </row>
    <row r="60" spans="1:3" x14ac:dyDescent="0.25">
      <c r="A60">
        <v>58</v>
      </c>
      <c r="C60" s="99">
        <v>965.77059774241195</v>
      </c>
    </row>
    <row r="61" spans="1:3" x14ac:dyDescent="0.25">
      <c r="A61">
        <v>59</v>
      </c>
      <c r="C61" s="99">
        <v>1206.9943076741899</v>
      </c>
    </row>
    <row r="62" spans="1:3" x14ac:dyDescent="0.25">
      <c r="A62">
        <v>60</v>
      </c>
      <c r="C62" s="99">
        <v>1476.3631270001599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data</vt:lpstr>
      <vt:lpstr>PBS_exp</vt:lpstr>
      <vt:lpstr>НК_exp</vt:lpstr>
      <vt:lpstr>IgG_exp</vt:lpstr>
      <vt:lpstr>No_treatment_sim</vt:lpstr>
      <vt:lpstr>IL12_exp</vt:lpstr>
      <vt:lpstr>IL12_sim</vt:lpstr>
      <vt:lpstr>GMCSF_exp</vt:lpstr>
      <vt:lpstr>GMCSF_sim</vt:lpstr>
      <vt:lpstr>VSV_exp</vt:lpstr>
      <vt:lpstr>VSV_sim</vt:lpstr>
      <vt:lpstr>aPD1_exp</vt:lpstr>
      <vt:lpstr>aPD1_sim</vt:lpstr>
      <vt:lpstr>IL12_GMCSF_x1_exp</vt:lpstr>
      <vt:lpstr>IL12_GMCSF_x1_sim</vt:lpstr>
      <vt:lpstr>IL12_GMCSF_x3_exp</vt:lpstr>
      <vt:lpstr>IL12_GMCSF_x3_sim</vt:lpstr>
      <vt:lpstr>IL12_GMCSF_x6_exp</vt:lpstr>
      <vt:lpstr>IL12_GMCSF_x6_sim</vt:lpstr>
      <vt:lpstr>IL12_GMCSF_VSV_exp</vt:lpstr>
      <vt:lpstr>IL12_GMCSF_VSV_sim</vt:lpstr>
      <vt:lpstr>IL12_GMCSF_VSV_aPD1_exp</vt:lpstr>
      <vt:lpstr>IL12_GMCSF_VSV_aPD1_sim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2026-01-16T13:59:09Z</dcterms:modified>
</cp:coreProperties>
</file>